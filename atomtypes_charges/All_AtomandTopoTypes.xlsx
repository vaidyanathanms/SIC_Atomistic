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ornl-my.sharepoint.com/personal/vm5_ornl_gov/Documents/Projects/SingleIonConductors_WithSurface/SIC_Atomistic/atomtypes_charges/"/>
    </mc:Choice>
  </mc:AlternateContent>
  <xr:revisionPtr revIDLastSave="1802" documentId="11_F25DC773A252ABDACC1048D7219A55725ADE5902" xr6:coauthVersionLast="47" xr6:coauthVersionMax="47" xr10:uidLastSave="{85B5C5E2-4F01-416B-A118-1C8A91635506}"/>
  <bookViews>
    <workbookView xWindow="-28920" yWindow="-120" windowWidth="29040" windowHeight="17520" firstSheet="1" activeTab="4" xr2:uid="{00000000-000D-0000-FFFF-FFFF00000000}"/>
  </bookViews>
  <sheets>
    <sheet name="All_Unique_Types" sheetId="4" r:id="rId1"/>
    <sheet name="PEO_LMP_GMX_UniqueMap" sheetId="6" r:id="rId2"/>
    <sheet name="CO32M_LMP_GMX_UniqueMap" sheetId="5" r:id="rId3"/>
    <sheet name="MTFSI_LMP_GMX_UniqueMap" sheetId="3" r:id="rId4"/>
    <sheet name="VEC_LMP_GMX_UniqueMap" sheetId="2" r:id="rId5"/>
  </sheets>
  <definedNames>
    <definedName name="_xlnm._FilterDatabase" localSheetId="1" hidden="1">PEO_LMP_GMX_UniqueMap!$I$3:$N$46</definedName>
    <definedName name="_xlnm._FilterDatabase" localSheetId="4" hidden="1">VEC_LMP_GMX_UniqueMap!$I$3:$N$18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4" l="1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O7" i="4"/>
  <c r="P7" i="4" s="1"/>
  <c r="Q3" i="4"/>
  <c r="O3" i="4"/>
  <c r="P3" i="4" s="1"/>
  <c r="N7" i="4"/>
  <c r="N3" i="4"/>
  <c r="H30" i="4"/>
  <c r="H31" i="4" s="1"/>
  <c r="G30" i="4"/>
  <c r="F31" i="4" s="1"/>
  <c r="G31" i="4" s="1"/>
  <c r="D30" i="4"/>
  <c r="C30" i="4"/>
  <c r="F30" i="4"/>
  <c r="E31" i="4" s="1"/>
  <c r="E30" i="4"/>
  <c r="C31" i="4" s="1"/>
  <c r="AH9" i="4"/>
  <c r="BX28" i="4"/>
  <c r="BX29" i="4"/>
  <c r="BX27" i="4"/>
  <c r="BX43" i="4"/>
  <c r="BX42" i="4"/>
  <c r="BX36" i="4"/>
  <c r="BX23" i="4"/>
  <c r="BS35" i="4"/>
  <c r="BT35" i="4"/>
  <c r="BU35" i="4"/>
  <c r="BR35" i="4"/>
  <c r="BU26" i="4"/>
  <c r="BT26" i="4"/>
  <c r="BS26" i="4"/>
  <c r="BR26" i="4"/>
  <c r="BS25" i="4"/>
  <c r="BT25" i="4"/>
  <c r="BU25" i="4"/>
  <c r="BR25" i="4"/>
  <c r="BX22" i="4"/>
  <c r="BS21" i="4"/>
  <c r="BT21" i="4"/>
  <c r="BU21" i="4"/>
  <c r="BR21" i="4"/>
  <c r="BX15" i="4"/>
  <c r="BS10" i="4"/>
  <c r="BT10" i="4"/>
  <c r="BU10" i="4"/>
  <c r="BR10" i="4"/>
  <c r="BS9" i="4"/>
  <c r="BT9" i="4"/>
  <c r="BU9" i="4"/>
  <c r="BR9" i="4"/>
  <c r="BS8" i="4"/>
  <c r="BT8" i="4"/>
  <c r="BU8" i="4"/>
  <c r="BR8" i="4"/>
  <c r="BS14" i="4"/>
  <c r="BT14" i="4"/>
  <c r="BU14" i="4"/>
  <c r="BR14" i="4"/>
  <c r="BF32" i="4"/>
  <c r="BF31" i="4"/>
  <c r="BX24" i="4"/>
  <c r="BE4" i="4"/>
  <c r="BE5" i="4" s="1"/>
  <c r="BE6" i="4" s="1"/>
  <c r="BE7" i="4" s="1"/>
  <c r="BE8" i="4" s="1"/>
  <c r="BE9" i="4" s="1"/>
  <c r="BE10" i="4" s="1"/>
  <c r="BE11" i="4" s="1"/>
  <c r="BE12" i="4" s="1"/>
  <c r="BE13" i="4" s="1"/>
  <c r="BE14" i="4" s="1"/>
  <c r="BE15" i="4" s="1"/>
  <c r="BE16" i="4" s="1"/>
  <c r="BE17" i="4" s="1"/>
  <c r="BE18" i="4" s="1"/>
  <c r="BE19" i="4" s="1"/>
  <c r="BE20" i="4" s="1"/>
  <c r="BE21" i="4" s="1"/>
  <c r="BE22" i="4" s="1"/>
  <c r="BE23" i="4" s="1"/>
  <c r="BE24" i="4" s="1"/>
  <c r="BE25" i="4" s="1"/>
  <c r="BE26" i="4" s="1"/>
  <c r="BE27" i="4" s="1"/>
  <c r="BE28" i="4" s="1"/>
  <c r="BE29" i="4" s="1"/>
  <c r="BE30" i="4" s="1"/>
  <c r="BE31" i="4" s="1"/>
  <c r="BE32" i="4" s="1"/>
  <c r="BE33" i="4" s="1"/>
  <c r="BE34" i="4" s="1"/>
  <c r="BE35" i="4" s="1"/>
  <c r="BE36" i="4" s="1"/>
  <c r="BE37" i="4" s="1"/>
  <c r="BE38" i="4" s="1"/>
  <c r="BE39" i="4" s="1"/>
  <c r="BE40" i="4" s="1"/>
  <c r="BE41" i="4" s="1"/>
  <c r="BE42" i="4" s="1"/>
  <c r="BE43" i="4" s="1"/>
  <c r="BM9" i="4"/>
  <c r="BM10" i="4"/>
  <c r="BM11" i="4"/>
  <c r="BM12" i="4"/>
  <c r="BM13" i="4"/>
  <c r="BM14" i="4"/>
  <c r="BM15" i="4"/>
  <c r="BM16" i="4"/>
  <c r="BM17" i="4"/>
  <c r="BM18" i="4"/>
  <c r="BM19" i="4"/>
  <c r="BM20" i="4"/>
  <c r="BM21" i="4"/>
  <c r="BM22" i="4"/>
  <c r="BM23" i="4"/>
  <c r="BM24" i="4"/>
  <c r="BM25" i="4"/>
  <c r="BM26" i="4"/>
  <c r="BM27" i="4"/>
  <c r="BM28" i="4"/>
  <c r="BM29" i="4"/>
  <c r="BM30" i="4"/>
  <c r="BM31" i="4"/>
  <c r="BM32" i="4"/>
  <c r="BM33" i="4"/>
  <c r="BK9" i="4"/>
  <c r="BK10" i="4"/>
  <c r="BK11" i="4"/>
  <c r="BK12" i="4"/>
  <c r="BK13" i="4"/>
  <c r="BK14" i="4"/>
  <c r="BK15" i="4"/>
  <c r="BK16" i="4"/>
  <c r="BK17" i="4"/>
  <c r="BK18" i="4"/>
  <c r="BK19" i="4"/>
  <c r="BK20" i="4"/>
  <c r="BK21" i="4"/>
  <c r="BK22" i="4"/>
  <c r="BK23" i="4"/>
  <c r="BK24" i="4"/>
  <c r="BK25" i="4"/>
  <c r="BK26" i="4"/>
  <c r="BK27" i="4"/>
  <c r="BK28" i="4"/>
  <c r="BK29" i="4"/>
  <c r="BK30" i="4"/>
  <c r="BK31" i="4"/>
  <c r="BK32" i="4"/>
  <c r="BK33" i="4"/>
  <c r="BJ9" i="4"/>
  <c r="BJ10" i="4"/>
  <c r="BJ11" i="4"/>
  <c r="BJ12" i="4"/>
  <c r="BJ13" i="4"/>
  <c r="BJ14" i="4"/>
  <c r="BJ15" i="4"/>
  <c r="BJ16" i="4"/>
  <c r="BJ17" i="4"/>
  <c r="BJ18" i="4"/>
  <c r="BJ19" i="4"/>
  <c r="BJ20" i="4"/>
  <c r="BJ21" i="4"/>
  <c r="BJ22" i="4"/>
  <c r="BJ23" i="4"/>
  <c r="BJ24" i="4"/>
  <c r="BJ25" i="4"/>
  <c r="BJ26" i="4"/>
  <c r="BJ27" i="4"/>
  <c r="BJ28" i="4"/>
  <c r="BJ29" i="4"/>
  <c r="BJ30" i="4"/>
  <c r="BJ31" i="4"/>
  <c r="BJ32" i="4"/>
  <c r="BJ33" i="4"/>
  <c r="BI9" i="4"/>
  <c r="BI10" i="4"/>
  <c r="BI11" i="4"/>
  <c r="BI12" i="4"/>
  <c r="BI13" i="4"/>
  <c r="BI14" i="4"/>
  <c r="BI15" i="4"/>
  <c r="BI16" i="4"/>
  <c r="BI17" i="4"/>
  <c r="BI18" i="4"/>
  <c r="BI19" i="4"/>
  <c r="BI20" i="4"/>
  <c r="BI21" i="4"/>
  <c r="BI22" i="4"/>
  <c r="BI23" i="4"/>
  <c r="BI24" i="4"/>
  <c r="BI25" i="4"/>
  <c r="BI26" i="4"/>
  <c r="BI27" i="4"/>
  <c r="BI28" i="4"/>
  <c r="BI29" i="4"/>
  <c r="BI30" i="4"/>
  <c r="BI31" i="4"/>
  <c r="BI32" i="4"/>
  <c r="BI33" i="4"/>
  <c r="BH9" i="4"/>
  <c r="BH10" i="4"/>
  <c r="BH11" i="4"/>
  <c r="BH12" i="4"/>
  <c r="BH13" i="4"/>
  <c r="BH14" i="4"/>
  <c r="BH15" i="4"/>
  <c r="BH16" i="4"/>
  <c r="BH17" i="4"/>
  <c r="BH18" i="4"/>
  <c r="BH19" i="4"/>
  <c r="BH20" i="4"/>
  <c r="BH21" i="4"/>
  <c r="BH22" i="4"/>
  <c r="BH23" i="4"/>
  <c r="BH24" i="4"/>
  <c r="BH25" i="4"/>
  <c r="BH26" i="4"/>
  <c r="BH27" i="4"/>
  <c r="BH28" i="4"/>
  <c r="BH29" i="4"/>
  <c r="BH30" i="4"/>
  <c r="BH31" i="4"/>
  <c r="BH32" i="4"/>
  <c r="BH33" i="4"/>
  <c r="BG9" i="4"/>
  <c r="BG10" i="4"/>
  <c r="BG11" i="4"/>
  <c r="BG12" i="4"/>
  <c r="BG13" i="4"/>
  <c r="BG14" i="4"/>
  <c r="BG15" i="4"/>
  <c r="BG16" i="4"/>
  <c r="BG17" i="4"/>
  <c r="BG18" i="4"/>
  <c r="BG19" i="4"/>
  <c r="BG20" i="4"/>
  <c r="BG21" i="4"/>
  <c r="BG22" i="4"/>
  <c r="BG23" i="4"/>
  <c r="BG24" i="4"/>
  <c r="BG25" i="4"/>
  <c r="BG26" i="4"/>
  <c r="BG27" i="4"/>
  <c r="BG28" i="4"/>
  <c r="BG29" i="4"/>
  <c r="BG30" i="4"/>
  <c r="BG31" i="4"/>
  <c r="BG32" i="4"/>
  <c r="BG33" i="4"/>
  <c r="BF9" i="4"/>
  <c r="BF10" i="4"/>
  <c r="BF11" i="4"/>
  <c r="BF12" i="4"/>
  <c r="BF13" i="4"/>
  <c r="BF14" i="4"/>
  <c r="BF15" i="4"/>
  <c r="BF16" i="4"/>
  <c r="BF17" i="4"/>
  <c r="BF18" i="4"/>
  <c r="BF19" i="4"/>
  <c r="BF20" i="4"/>
  <c r="BF21" i="4"/>
  <c r="BF22" i="4"/>
  <c r="BF23" i="4"/>
  <c r="BF24" i="4"/>
  <c r="BF25" i="4"/>
  <c r="BF26" i="4"/>
  <c r="BF27" i="4"/>
  <c r="BF28" i="4"/>
  <c r="BF29" i="4"/>
  <c r="BF30" i="4"/>
  <c r="BF33" i="4"/>
  <c r="CE29" i="3"/>
  <c r="CD29" i="3"/>
  <c r="CC29" i="3"/>
  <c r="CB29" i="3"/>
  <c r="CE28" i="3"/>
  <c r="CD28" i="3"/>
  <c r="CC28" i="3"/>
  <c r="CB28" i="3"/>
  <c r="CE27" i="3"/>
  <c r="CD27" i="3"/>
  <c r="CC27" i="3"/>
  <c r="CB27" i="3"/>
  <c r="CE26" i="3"/>
  <c r="CD26" i="3"/>
  <c r="CC26" i="3"/>
  <c r="CB26" i="3"/>
  <c r="CE25" i="3"/>
  <c r="CD25" i="3"/>
  <c r="CC25" i="3"/>
  <c r="CB25" i="3"/>
  <c r="CE24" i="3"/>
  <c r="CD24" i="3"/>
  <c r="CC24" i="3"/>
  <c r="CB24" i="3"/>
  <c r="CE23" i="3"/>
  <c r="CD23" i="3"/>
  <c r="CC23" i="3"/>
  <c r="CB23" i="3"/>
  <c r="CE22" i="3"/>
  <c r="CD22" i="3"/>
  <c r="CC22" i="3"/>
  <c r="CB22" i="3"/>
  <c r="CE21" i="3"/>
  <c r="CD21" i="3"/>
  <c r="CC21" i="3"/>
  <c r="CB21" i="3"/>
  <c r="CE20" i="3"/>
  <c r="CD20" i="3"/>
  <c r="CC20" i="3"/>
  <c r="CB20" i="3"/>
  <c r="CE19" i="3"/>
  <c r="CD19" i="3"/>
  <c r="CC19" i="3"/>
  <c r="CB19" i="3"/>
  <c r="CE18" i="3"/>
  <c r="CD18" i="3"/>
  <c r="CC18" i="3"/>
  <c r="CB18" i="3"/>
  <c r="CE17" i="3"/>
  <c r="CD17" i="3"/>
  <c r="CC17" i="3"/>
  <c r="CB17" i="3"/>
  <c r="CE16" i="3"/>
  <c r="CD16" i="3"/>
  <c r="CC16" i="3"/>
  <c r="CB16" i="3"/>
  <c r="CE15" i="3"/>
  <c r="CD15" i="3"/>
  <c r="CC15" i="3"/>
  <c r="CB15" i="3"/>
  <c r="CE14" i="3"/>
  <c r="CD14" i="3"/>
  <c r="CC14" i="3"/>
  <c r="CB14" i="3"/>
  <c r="CE13" i="3"/>
  <c r="CD13" i="3"/>
  <c r="CC13" i="3"/>
  <c r="CB13" i="3"/>
  <c r="CE12" i="3"/>
  <c r="CD12" i="3"/>
  <c r="CC12" i="3"/>
  <c r="CB12" i="3"/>
  <c r="CE11" i="3"/>
  <c r="CD11" i="3"/>
  <c r="CC11" i="3"/>
  <c r="CB11" i="3"/>
  <c r="CE10" i="3"/>
  <c r="CD10" i="3"/>
  <c r="CC10" i="3"/>
  <c r="CB10" i="3"/>
  <c r="CE9" i="3"/>
  <c r="CD9" i="3"/>
  <c r="CC9" i="3"/>
  <c r="CB9" i="3"/>
  <c r="CE8" i="3"/>
  <c r="CD8" i="3"/>
  <c r="CC8" i="3"/>
  <c r="CB8" i="3"/>
  <c r="CE7" i="3"/>
  <c r="CD7" i="3"/>
  <c r="CC7" i="3"/>
  <c r="CB7" i="3"/>
  <c r="CE6" i="3"/>
  <c r="CD6" i="3"/>
  <c r="CC6" i="3"/>
  <c r="CB6" i="3"/>
  <c r="CE5" i="3"/>
  <c r="CD5" i="3"/>
  <c r="CC5" i="3"/>
  <c r="CB5" i="3"/>
  <c r="CE4" i="3"/>
  <c r="CD4" i="3"/>
  <c r="CC4" i="3"/>
  <c r="CB4" i="3"/>
  <c r="CE3" i="3"/>
  <c r="CD3" i="3"/>
  <c r="CC3" i="3"/>
  <c r="CB3" i="3"/>
  <c r="BM8" i="4" s="1"/>
  <c r="BO47" i="3"/>
  <c r="BO48" i="3"/>
  <c r="BO49" i="3"/>
  <c r="BO50" i="3"/>
  <c r="BO51" i="3"/>
  <c r="BO52" i="3"/>
  <c r="BO53" i="3"/>
  <c r="BO54" i="3"/>
  <c r="BO55" i="3"/>
  <c r="BO56" i="3"/>
  <c r="BO57" i="3"/>
  <c r="BO58" i="3"/>
  <c r="BO59" i="3"/>
  <c r="BO60" i="3"/>
  <c r="BO61" i="3"/>
  <c r="BO62" i="3"/>
  <c r="BO63" i="3"/>
  <c r="BO64" i="3"/>
  <c r="BO65" i="3"/>
  <c r="BO66" i="3"/>
  <c r="BO67" i="3"/>
  <c r="BO68" i="3"/>
  <c r="BO69" i="3"/>
  <c r="BO70" i="3"/>
  <c r="BO71" i="3"/>
  <c r="BO72" i="3"/>
  <c r="BO73" i="3"/>
  <c r="BN47" i="3"/>
  <c r="BN48" i="3"/>
  <c r="BN49" i="3"/>
  <c r="BN50" i="3"/>
  <c r="BN51" i="3"/>
  <c r="BN52" i="3"/>
  <c r="BN53" i="3"/>
  <c r="BN54" i="3"/>
  <c r="BN55" i="3"/>
  <c r="BN56" i="3"/>
  <c r="BN57" i="3"/>
  <c r="BN58" i="3"/>
  <c r="BN59" i="3"/>
  <c r="BN60" i="3"/>
  <c r="BN61" i="3"/>
  <c r="BN62" i="3"/>
  <c r="BN63" i="3"/>
  <c r="BN64" i="3"/>
  <c r="BN65" i="3"/>
  <c r="BN66" i="3"/>
  <c r="BN67" i="3"/>
  <c r="BN68" i="3"/>
  <c r="BN69" i="3"/>
  <c r="BN70" i="3"/>
  <c r="BN71" i="3"/>
  <c r="BN72" i="3"/>
  <c r="BN73" i="3"/>
  <c r="BM47" i="3"/>
  <c r="BM48" i="3"/>
  <c r="BM49" i="3"/>
  <c r="BM50" i="3"/>
  <c r="BM51" i="3"/>
  <c r="BM52" i="3"/>
  <c r="BM53" i="3"/>
  <c r="BM54" i="3"/>
  <c r="BM55" i="3"/>
  <c r="BM56" i="3"/>
  <c r="BM57" i="3"/>
  <c r="BM58" i="3"/>
  <c r="BM59" i="3"/>
  <c r="BM60" i="3"/>
  <c r="BM61" i="3"/>
  <c r="BM62" i="3"/>
  <c r="BM63" i="3"/>
  <c r="BM64" i="3"/>
  <c r="BM65" i="3"/>
  <c r="BM66" i="3"/>
  <c r="BM67" i="3"/>
  <c r="BM68" i="3"/>
  <c r="BM69" i="3"/>
  <c r="BM70" i="3"/>
  <c r="BM71" i="3"/>
  <c r="BM72" i="3"/>
  <c r="BM73" i="3"/>
  <c r="BL47" i="3"/>
  <c r="BL48" i="3"/>
  <c r="BL49" i="3"/>
  <c r="BL50" i="3"/>
  <c r="BL51" i="3"/>
  <c r="BL52" i="3"/>
  <c r="BL53" i="3"/>
  <c r="BL54" i="3"/>
  <c r="BL55" i="3"/>
  <c r="BL56" i="3"/>
  <c r="BL57" i="3"/>
  <c r="BL58" i="3"/>
  <c r="BL59" i="3"/>
  <c r="BL60" i="3"/>
  <c r="BL61" i="3"/>
  <c r="BL62" i="3"/>
  <c r="BL63" i="3"/>
  <c r="BL64" i="3"/>
  <c r="BL65" i="3"/>
  <c r="BL66" i="3"/>
  <c r="BL67" i="3"/>
  <c r="BL68" i="3"/>
  <c r="BL69" i="3"/>
  <c r="BL70" i="3"/>
  <c r="BL71" i="3"/>
  <c r="BL72" i="3"/>
  <c r="BL73" i="3"/>
  <c r="BG2" i="4"/>
  <c r="BH2" i="4"/>
  <c r="BI2" i="4"/>
  <c r="BJ2" i="4"/>
  <c r="BK2" i="4"/>
  <c r="BF2" i="4"/>
  <c r="BM35" i="4"/>
  <c r="BM36" i="4"/>
  <c r="BM37" i="4"/>
  <c r="BM38" i="4"/>
  <c r="BM39" i="4"/>
  <c r="BM40" i="4"/>
  <c r="BM41" i="4"/>
  <c r="BM42" i="4"/>
  <c r="BM43" i="4"/>
  <c r="BM34" i="4"/>
  <c r="BF43" i="4"/>
  <c r="BF38" i="4"/>
  <c r="BF37" i="4"/>
  <c r="BK35" i="4"/>
  <c r="BK36" i="4"/>
  <c r="BK37" i="4"/>
  <c r="BK38" i="4"/>
  <c r="BK39" i="4"/>
  <c r="BK40" i="4"/>
  <c r="BK41" i="4"/>
  <c r="BK42" i="4"/>
  <c r="BK43" i="4"/>
  <c r="BJ35" i="4"/>
  <c r="BJ36" i="4"/>
  <c r="BJ37" i="4"/>
  <c r="BJ38" i="4"/>
  <c r="BJ39" i="4"/>
  <c r="BJ40" i="4"/>
  <c r="BJ41" i="4"/>
  <c r="BJ42" i="4"/>
  <c r="BJ43" i="4"/>
  <c r="BI35" i="4"/>
  <c r="BI36" i="4"/>
  <c r="BI37" i="4"/>
  <c r="BI38" i="4"/>
  <c r="BI39" i="4"/>
  <c r="BI40" i="4"/>
  <c r="BI41" i="4"/>
  <c r="BI42" i="4"/>
  <c r="BI43" i="4"/>
  <c r="BH35" i="4"/>
  <c r="BH36" i="4"/>
  <c r="BH37" i="4"/>
  <c r="BH38" i="4"/>
  <c r="BH39" i="4"/>
  <c r="BH40" i="4"/>
  <c r="BH41" i="4"/>
  <c r="BH42" i="4"/>
  <c r="BH43" i="4"/>
  <c r="BG35" i="4"/>
  <c r="BG36" i="4"/>
  <c r="BG37" i="4"/>
  <c r="BG38" i="4"/>
  <c r="BG39" i="4"/>
  <c r="BG40" i="4"/>
  <c r="BG41" i="4"/>
  <c r="BG42" i="4"/>
  <c r="BG43" i="4"/>
  <c r="BF35" i="4"/>
  <c r="BF36" i="4"/>
  <c r="BF39" i="4"/>
  <c r="BF40" i="4"/>
  <c r="BF41" i="4"/>
  <c r="BF42" i="4"/>
  <c r="BG34" i="4"/>
  <c r="BH34" i="4"/>
  <c r="BI34" i="4"/>
  <c r="BJ34" i="4"/>
  <c r="BK34" i="4"/>
  <c r="BF34" i="4"/>
  <c r="BG8" i="4"/>
  <c r="BH8" i="4"/>
  <c r="BI8" i="4"/>
  <c r="BJ8" i="4"/>
  <c r="BK8" i="4"/>
  <c r="BF8" i="4"/>
  <c r="BM4" i="4"/>
  <c r="BM5" i="4"/>
  <c r="BM6" i="4"/>
  <c r="BM7" i="4"/>
  <c r="BM3" i="4"/>
  <c r="BF4" i="4"/>
  <c r="BF3" i="4"/>
  <c r="BK3" i="4"/>
  <c r="BK4" i="4"/>
  <c r="BK5" i="4"/>
  <c r="BK6" i="4"/>
  <c r="BK7" i="4"/>
  <c r="BJ3" i="4"/>
  <c r="BJ4" i="4"/>
  <c r="BJ5" i="4"/>
  <c r="BJ6" i="4"/>
  <c r="BJ7" i="4"/>
  <c r="BI3" i="4"/>
  <c r="BI4" i="4"/>
  <c r="BI5" i="4"/>
  <c r="BI6" i="4"/>
  <c r="BI7" i="4"/>
  <c r="BH3" i="4"/>
  <c r="BH4" i="4"/>
  <c r="BH5" i="4"/>
  <c r="BH6" i="4"/>
  <c r="BH7" i="4"/>
  <c r="BG3" i="4"/>
  <c r="BG4" i="4"/>
  <c r="BG5" i="4"/>
  <c r="BG6" i="4"/>
  <c r="BG7" i="4"/>
  <c r="BF5" i="4"/>
  <c r="BF6" i="4"/>
  <c r="BF7" i="4"/>
  <c r="AR31" i="4"/>
  <c r="AR32" i="4"/>
  <c r="AR33" i="4"/>
  <c r="AR34" i="4"/>
  <c r="AR35" i="4"/>
  <c r="AR36" i="4"/>
  <c r="AR37" i="4"/>
  <c r="AQ31" i="4"/>
  <c r="AQ32" i="4"/>
  <c r="AQ33" i="4"/>
  <c r="AQ34" i="4"/>
  <c r="AQ35" i="4"/>
  <c r="AQ36" i="4"/>
  <c r="AQ37" i="4"/>
  <c r="AP31" i="4"/>
  <c r="AP32" i="4"/>
  <c r="AP33" i="4"/>
  <c r="AP34" i="4"/>
  <c r="AP35" i="4"/>
  <c r="AP36" i="4"/>
  <c r="AP37" i="4"/>
  <c r="AO31" i="4"/>
  <c r="AO32" i="4"/>
  <c r="AO33" i="4"/>
  <c r="AO34" i="4"/>
  <c r="AO35" i="4"/>
  <c r="AO36" i="4"/>
  <c r="AO37" i="4"/>
  <c r="AO30" i="4"/>
  <c r="AP30" i="4"/>
  <c r="AQ30" i="4"/>
  <c r="AR30" i="4"/>
  <c r="AN31" i="4"/>
  <c r="AN32" i="4"/>
  <c r="AN33" i="4"/>
  <c r="AN34" i="4"/>
  <c r="AN35" i="4"/>
  <c r="AN36" i="4"/>
  <c r="AN37" i="4"/>
  <c r="AN30" i="4"/>
  <c r="AR11" i="4"/>
  <c r="AR12" i="4"/>
  <c r="AR13" i="4"/>
  <c r="AR14" i="4"/>
  <c r="AR15" i="4"/>
  <c r="AR16" i="4"/>
  <c r="AR17" i="4"/>
  <c r="AR18" i="4"/>
  <c r="AR19" i="4"/>
  <c r="AR20" i="4"/>
  <c r="AR21" i="4"/>
  <c r="AR22" i="4"/>
  <c r="AR23" i="4"/>
  <c r="AR24" i="4"/>
  <c r="AR25" i="4"/>
  <c r="AR26" i="4"/>
  <c r="AR27" i="4"/>
  <c r="AR28" i="4"/>
  <c r="AR29" i="4"/>
  <c r="AQ11" i="4"/>
  <c r="AQ12" i="4"/>
  <c r="AQ13" i="4"/>
  <c r="AQ14" i="4"/>
  <c r="AQ15" i="4"/>
  <c r="AQ16" i="4"/>
  <c r="AQ17" i="4"/>
  <c r="AQ18" i="4"/>
  <c r="AQ19" i="4"/>
  <c r="AQ20" i="4"/>
  <c r="AQ21" i="4"/>
  <c r="AQ22" i="4"/>
  <c r="AQ23" i="4"/>
  <c r="AQ24" i="4"/>
  <c r="AQ25" i="4"/>
  <c r="AQ26" i="4"/>
  <c r="AQ27" i="4"/>
  <c r="AQ28" i="4"/>
  <c r="AQ29" i="4"/>
  <c r="AP11" i="4"/>
  <c r="AP12" i="4"/>
  <c r="AP13" i="4"/>
  <c r="AP14" i="4"/>
  <c r="AP15" i="4"/>
  <c r="AP16" i="4"/>
  <c r="AP17" i="4"/>
  <c r="AP18" i="4"/>
  <c r="AP19" i="4"/>
  <c r="AP20" i="4"/>
  <c r="AP21" i="4"/>
  <c r="AP22" i="4"/>
  <c r="AP23" i="4"/>
  <c r="AP24" i="4"/>
  <c r="AP25" i="4"/>
  <c r="AP26" i="4"/>
  <c r="AP27" i="4"/>
  <c r="AP28" i="4"/>
  <c r="AP29" i="4"/>
  <c r="AO11" i="4"/>
  <c r="AO12" i="4"/>
  <c r="AO13" i="4"/>
  <c r="AO14" i="4"/>
  <c r="AO15" i="4"/>
  <c r="AO16" i="4"/>
  <c r="AO17" i="4"/>
  <c r="AO18" i="4"/>
  <c r="AO19" i="4"/>
  <c r="AO20" i="4"/>
  <c r="AO21" i="4"/>
  <c r="AO22" i="4"/>
  <c r="AO23" i="4"/>
  <c r="AO24" i="4"/>
  <c r="AO25" i="4"/>
  <c r="AO26" i="4"/>
  <c r="AO27" i="4"/>
  <c r="AO28" i="4"/>
  <c r="AO29" i="4"/>
  <c r="AO10" i="4"/>
  <c r="AP10" i="4"/>
  <c r="AQ10" i="4"/>
  <c r="AR10" i="4"/>
  <c r="AN11" i="4"/>
  <c r="AN12" i="4"/>
  <c r="AN13" i="4"/>
  <c r="AN14" i="4"/>
  <c r="AN15" i="4"/>
  <c r="AN16" i="4"/>
  <c r="AN17" i="4"/>
  <c r="AN18" i="4"/>
  <c r="AN19" i="4"/>
  <c r="AN20" i="4"/>
  <c r="AN21" i="4"/>
  <c r="AN22" i="4"/>
  <c r="AN23" i="4"/>
  <c r="AN24" i="4"/>
  <c r="AN25" i="4"/>
  <c r="AN26" i="4"/>
  <c r="AN27" i="4"/>
  <c r="AN28" i="4"/>
  <c r="AN29" i="4"/>
  <c r="AN10" i="4"/>
  <c r="AR9" i="4"/>
  <c r="AQ9" i="4"/>
  <c r="AP9" i="4"/>
  <c r="AO9" i="4"/>
  <c r="AN9" i="4"/>
  <c r="AP8" i="4"/>
  <c r="AQ8" i="4"/>
  <c r="AR8" i="4"/>
  <c r="AP7" i="4"/>
  <c r="AQ7" i="4"/>
  <c r="AR7" i="4"/>
  <c r="AP6" i="4"/>
  <c r="AQ6" i="4"/>
  <c r="AR6" i="4"/>
  <c r="AP5" i="4"/>
  <c r="AQ5" i="4"/>
  <c r="AR5" i="4"/>
  <c r="AP4" i="4"/>
  <c r="AQ4" i="4"/>
  <c r="AR4" i="4"/>
  <c r="AP3" i="4"/>
  <c r="AQ3" i="4"/>
  <c r="AR3" i="4"/>
  <c r="AO8" i="4"/>
  <c r="AN8" i="4"/>
  <c r="AO4" i="4"/>
  <c r="AO5" i="4"/>
  <c r="AO6" i="4"/>
  <c r="AO7" i="4"/>
  <c r="AO3" i="4"/>
  <c r="AN4" i="4"/>
  <c r="AN5" i="4"/>
  <c r="AN6" i="4"/>
  <c r="AN7" i="4"/>
  <c r="AN3" i="4"/>
  <c r="V3" i="4"/>
  <c r="AM4" i="4"/>
  <c r="AM5" i="4" s="1"/>
  <c r="AM6" i="4" s="1"/>
  <c r="AM7" i="4" s="1"/>
  <c r="AM8" i="4" s="1"/>
  <c r="AM9" i="4" s="1"/>
  <c r="AM10" i="4" s="1"/>
  <c r="AM11" i="4" s="1"/>
  <c r="AM12" i="4" s="1"/>
  <c r="AM13" i="4" s="1"/>
  <c r="AM14" i="4" s="1"/>
  <c r="AM15" i="4" s="1"/>
  <c r="AM16" i="4" s="1"/>
  <c r="AM17" i="4" s="1"/>
  <c r="AM18" i="4" s="1"/>
  <c r="AM19" i="4" s="1"/>
  <c r="AM20" i="4" s="1"/>
  <c r="AM21" i="4" s="1"/>
  <c r="AM22" i="4" s="1"/>
  <c r="AM23" i="4" s="1"/>
  <c r="AM24" i="4" s="1"/>
  <c r="AM25" i="4" s="1"/>
  <c r="AM26" i="4" s="1"/>
  <c r="AM27" i="4" s="1"/>
  <c r="AM28" i="4" s="1"/>
  <c r="AM29" i="4" s="1"/>
  <c r="AM30" i="4" s="1"/>
  <c r="AM31" i="4" s="1"/>
  <c r="AM32" i="4" s="1"/>
  <c r="AM33" i="4" s="1"/>
  <c r="AM34" i="4" s="1"/>
  <c r="AM35" i="4" s="1"/>
  <c r="AM36" i="4" s="1"/>
  <c r="AM37" i="4" s="1"/>
  <c r="D31" i="4" l="1"/>
  <c r="BL43" i="4"/>
  <c r="BL35" i="4"/>
  <c r="AS22" i="4"/>
  <c r="AS14" i="4"/>
  <c r="BU5" i="4" a="1"/>
  <c r="BU5" i="4" s="1"/>
  <c r="BL42" i="4"/>
  <c r="BL5" i="4"/>
  <c r="BL28" i="4"/>
  <c r="BL20" i="4"/>
  <c r="BL12" i="4"/>
  <c r="BL37" i="4"/>
  <c r="BL26" i="4"/>
  <c r="BL18" i="4"/>
  <c r="BL10" i="4"/>
  <c r="BL27" i="4"/>
  <c r="BL19" i="4"/>
  <c r="AS17" i="4"/>
  <c r="AS37" i="4"/>
  <c r="BL38" i="4"/>
  <c r="AS25" i="4"/>
  <c r="AS7" i="4"/>
  <c r="AS26" i="4"/>
  <c r="AS18" i="4"/>
  <c r="BL39" i="4"/>
  <c r="BL29" i="4"/>
  <c r="BL21" i="4"/>
  <c r="BL13" i="4"/>
  <c r="BL6" i="4"/>
  <c r="BL3" i="4"/>
  <c r="BS3" i="4" a="1"/>
  <c r="BS3" i="4" s="1"/>
  <c r="BL11" i="4"/>
  <c r="AS34" i="4"/>
  <c r="BR5" i="4" a="1"/>
  <c r="BR5" i="4" s="1"/>
  <c r="BL25" i="4"/>
  <c r="BL17" i="4"/>
  <c r="BL9" i="4"/>
  <c r="BR7" i="4" a="1"/>
  <c r="BR7" i="4" s="1"/>
  <c r="BL41" i="4"/>
  <c r="BL36" i="4"/>
  <c r="BS4" i="4" a="1"/>
  <c r="BS4" i="4" s="1"/>
  <c r="BL24" i="4"/>
  <c r="BL16" i="4"/>
  <c r="BL4" i="4"/>
  <c r="AS10" i="4"/>
  <c r="BL7" i="4"/>
  <c r="BL33" i="4"/>
  <c r="BL15" i="4"/>
  <c r="BS7" i="4" a="1"/>
  <c r="BS7" i="4" s="1"/>
  <c r="BL40" i="4"/>
  <c r="BL30" i="4"/>
  <c r="BL22" i="4"/>
  <c r="BL14" i="4"/>
  <c r="BL31" i="4"/>
  <c r="BL23" i="4"/>
  <c r="AS15" i="4"/>
  <c r="BT7" i="4" a="1"/>
  <c r="BT7" i="4" s="1"/>
  <c r="BU4" i="4" a="1"/>
  <c r="BU4" i="4" s="1"/>
  <c r="BT6" i="4" a="1"/>
  <c r="BT6" i="4" s="1"/>
  <c r="BL32" i="4"/>
  <c r="BT5" i="4" a="1"/>
  <c r="BT5" i="4" s="1"/>
  <c r="AS5" i="4"/>
  <c r="AS23" i="4"/>
  <c r="BT4" i="4" a="1"/>
  <c r="BT4" i="4" s="1"/>
  <c r="AS8" i="4"/>
  <c r="AS21" i="4"/>
  <c r="AS13" i="4"/>
  <c r="AS33" i="4"/>
  <c r="AS28" i="4"/>
  <c r="AS31" i="4"/>
  <c r="BS6" i="4" a="1"/>
  <c r="BS6" i="4" s="1"/>
  <c r="BU3" i="4" a="1"/>
  <c r="BU3" i="4" s="1"/>
  <c r="BR4" i="4" a="1"/>
  <c r="BR4" i="4" s="1"/>
  <c r="AS3" i="4"/>
  <c r="AS29" i="4"/>
  <c r="AS6" i="4"/>
  <c r="AS20" i="4"/>
  <c r="AS12" i="4"/>
  <c r="AS32" i="4"/>
  <c r="AS9" i="4"/>
  <c r="AS4" i="4"/>
  <c r="AS30" i="4"/>
  <c r="BL34" i="4"/>
  <c r="BR3" i="4" a="1"/>
  <c r="BR3" i="4" s="1"/>
  <c r="BS5" i="4" a="1"/>
  <c r="BS5" i="4" s="1"/>
  <c r="BU7" i="4" a="1"/>
  <c r="BU7" i="4" s="1"/>
  <c r="BU6" i="4" a="1"/>
  <c r="BU6" i="4" s="1"/>
  <c r="AS24" i="4"/>
  <c r="AS16" i="4"/>
  <c r="AS27" i="4"/>
  <c r="AS19" i="4"/>
  <c r="AS11" i="4"/>
  <c r="AS36" i="4"/>
  <c r="AS35" i="4"/>
  <c r="BR6" i="4" a="1"/>
  <c r="BR6" i="4" s="1"/>
  <c r="BT3" i="4" a="1"/>
  <c r="BT3" i="4" s="1"/>
  <c r="BL8" i="4"/>
  <c r="BR39" i="4" a="1"/>
  <c r="BR39" i="4" s="1"/>
  <c r="BR43" i="4" s="1"/>
  <c r="BS45" i="4" a="1"/>
  <c r="BS45" i="4" s="1"/>
  <c r="BS20" i="4" a="1"/>
  <c r="BS20" i="4" s="1"/>
  <c r="BT45" i="4" a="1"/>
  <c r="BT45" i="4" s="1"/>
  <c r="BT13" i="4" a="1"/>
  <c r="BT13" i="4" s="1"/>
  <c r="BU30" i="4" a="1"/>
  <c r="BU30" i="4" s="1"/>
  <c r="BR46" i="4" a="1"/>
  <c r="BR46" i="4" s="1"/>
  <c r="BR49" i="4" a="1"/>
  <c r="BR49" i="4" s="1"/>
  <c r="BR41" i="4" a="1"/>
  <c r="BR41" i="4" s="1"/>
  <c r="BR33" i="4" a="1"/>
  <c r="BR33" i="4" s="1"/>
  <c r="BR17" i="4" a="1"/>
  <c r="BR17" i="4" s="1"/>
  <c r="BR29" i="4" s="1"/>
  <c r="BR48" i="4" a="1"/>
  <c r="BR48" i="4" s="1"/>
  <c r="BR40" i="4" a="1"/>
  <c r="BR40" i="4" s="1"/>
  <c r="BR32" i="4" a="1"/>
  <c r="BR32" i="4" s="1"/>
  <c r="BR24" i="4" a="1"/>
  <c r="BR24" i="4" s="1"/>
  <c r="BR16" i="4" a="1"/>
  <c r="BR16" i="4" s="1"/>
  <c r="BR28" i="4" s="1"/>
  <c r="BS53" i="4" a="1"/>
  <c r="BS53" i="4" s="1"/>
  <c r="BS46" i="4" a="1"/>
  <c r="BS46" i="4" s="1"/>
  <c r="BS40" i="4" a="1"/>
  <c r="BS40" i="4" s="1"/>
  <c r="BS33" i="4" a="1"/>
  <c r="BS33" i="4" s="1"/>
  <c r="BT52" i="4" a="1"/>
  <c r="BT52" i="4" s="1"/>
  <c r="BT46" i="4" a="1"/>
  <c r="BT46" i="4" s="1"/>
  <c r="BT39" i="4" a="1"/>
  <c r="BT39" i="4" s="1"/>
  <c r="BT43" i="4" s="1"/>
  <c r="BT33" i="4" a="1"/>
  <c r="BT33" i="4" s="1"/>
  <c r="BT20" i="4" a="1"/>
  <c r="BT20" i="4" s="1"/>
  <c r="BU55" i="4" a="1"/>
  <c r="BU55" i="4" s="1"/>
  <c r="BU47" i="4" a="1"/>
  <c r="BU47" i="4" s="1"/>
  <c r="BU39" i="4" a="1"/>
  <c r="BU39" i="4" s="1"/>
  <c r="BU43" i="4" s="1"/>
  <c r="BU31" i="4" a="1"/>
  <c r="BU31" i="4" s="1"/>
  <c r="BU42" i="4" s="1"/>
  <c r="BS39" i="4" a="1"/>
  <c r="BS39" i="4" s="1"/>
  <c r="BS43" i="4" s="1"/>
  <c r="BT32" i="4" a="1"/>
  <c r="BT32" i="4" s="1"/>
  <c r="BU46" i="4" a="1"/>
  <c r="BU46" i="4" s="1"/>
  <c r="BR30" i="4" a="1"/>
  <c r="BR30" i="4" s="1"/>
  <c r="BS38" i="4" a="1"/>
  <c r="BS38" i="4" s="1"/>
  <c r="BT38" i="4" a="1"/>
  <c r="BT38" i="4" s="1"/>
  <c r="BU37" i="4" a="1"/>
  <c r="BU37" i="4" s="1"/>
  <c r="BR53" i="4" a="1"/>
  <c r="BR53" i="4" s="1"/>
  <c r="BR45" i="4" a="1"/>
  <c r="BR45" i="4" s="1"/>
  <c r="BR37" i="4" a="1"/>
  <c r="BR37" i="4" s="1"/>
  <c r="BR13" i="4" a="1"/>
  <c r="BR13" i="4" s="1"/>
  <c r="BS50" i="4" a="1"/>
  <c r="BS50" i="4" s="1"/>
  <c r="BS44" i="4" a="1"/>
  <c r="BS44" i="4" s="1"/>
  <c r="BS37" i="4" a="1"/>
  <c r="BS37" i="4" s="1"/>
  <c r="BS31" i="4" a="1"/>
  <c r="BS31" i="4" s="1"/>
  <c r="BS42" i="4" s="1"/>
  <c r="BS13" i="4" a="1"/>
  <c r="BS13" i="4" s="1"/>
  <c r="BT50" i="4" a="1"/>
  <c r="BT50" i="4" s="1"/>
  <c r="BT37" i="4" a="1"/>
  <c r="BT37" i="4" s="1"/>
  <c r="BT24" i="4" a="1"/>
  <c r="BT24" i="4" s="1"/>
  <c r="BT18" i="4" a="1"/>
  <c r="BT18" i="4" s="1"/>
  <c r="BT11" i="4" a="1"/>
  <c r="BT11" i="4" s="1"/>
  <c r="BU52" i="4" a="1"/>
  <c r="BU52" i="4" s="1"/>
  <c r="BU44" i="4" a="1"/>
  <c r="BU44" i="4" s="1"/>
  <c r="BU20" i="4" a="1"/>
  <c r="BU20" i="4" s="1"/>
  <c r="BU12" i="4" a="1"/>
  <c r="BU12" i="4" s="1"/>
  <c r="BU23" i="4" s="1"/>
  <c r="BR52" i="4" a="1"/>
  <c r="BR52" i="4" s="1"/>
  <c r="BR44" i="4" a="1"/>
  <c r="BR44" i="4" s="1"/>
  <c r="BR20" i="4" a="1"/>
  <c r="BR20" i="4" s="1"/>
  <c r="BR12" i="4" a="1"/>
  <c r="BR12" i="4" s="1"/>
  <c r="BR23" i="4" s="1"/>
  <c r="BS49" i="4" a="1"/>
  <c r="BS49" i="4" s="1"/>
  <c r="BS30" i="4" a="1"/>
  <c r="BS30" i="4" s="1"/>
  <c r="BS24" i="4" a="1"/>
  <c r="BS24" i="4" s="1"/>
  <c r="BS18" i="4" a="1"/>
  <c r="BS18" i="4" s="1"/>
  <c r="BT55" i="4" a="1"/>
  <c r="BT55" i="4" s="1"/>
  <c r="BT49" i="4" a="1"/>
  <c r="BT49" i="4" s="1"/>
  <c r="BT30" i="4" a="1"/>
  <c r="BT30" i="4" s="1"/>
  <c r="BT17" i="4" a="1"/>
  <c r="BT17" i="4" s="1"/>
  <c r="BT29" i="4" s="1"/>
  <c r="BU51" i="4" a="1"/>
  <c r="BU51" i="4" s="1"/>
  <c r="BU19" i="4" a="1"/>
  <c r="BU19" i="4" s="1"/>
  <c r="BU11" i="4" a="1"/>
  <c r="BU11" i="4" s="1"/>
  <c r="BR47" i="4" a="1"/>
  <c r="BR47" i="4" s="1"/>
  <c r="BS52" i="4" a="1"/>
  <c r="BS52" i="4" s="1"/>
  <c r="BT51" i="4" a="1"/>
  <c r="BT51" i="4" s="1"/>
  <c r="BT19" i="4" a="1"/>
  <c r="BT19" i="4" s="1"/>
  <c r="BU54" i="4" a="1"/>
  <c r="BU54" i="4" s="1"/>
  <c r="BR38" i="4" a="1"/>
  <c r="BR38" i="4" s="1"/>
  <c r="BS51" i="4" a="1"/>
  <c r="BS51" i="4" s="1"/>
  <c r="BS19" i="4" a="1"/>
  <c r="BS19" i="4" s="1"/>
  <c r="BT44" i="4" a="1"/>
  <c r="BT44" i="4" s="1"/>
  <c r="BU53" i="4" a="1"/>
  <c r="BU53" i="4" s="1"/>
  <c r="BU13" i="4" a="1"/>
  <c r="BU13" i="4" s="1"/>
  <c r="BR51" i="4" a="1"/>
  <c r="BR51" i="4" s="1"/>
  <c r="BR19" i="4" a="1"/>
  <c r="BR19" i="4" s="1"/>
  <c r="BR11" i="4" a="1"/>
  <c r="BR11" i="4" s="1"/>
  <c r="BS17" i="4" a="1"/>
  <c r="BS17" i="4" s="1"/>
  <c r="BS29" i="4" s="1"/>
  <c r="BS12" i="4" a="1"/>
  <c r="BS12" i="4" s="1"/>
  <c r="BS23" i="4" s="1"/>
  <c r="BT48" i="4" a="1"/>
  <c r="BT48" i="4" s="1"/>
  <c r="BT16" i="4" a="1"/>
  <c r="BT16" i="4" s="1"/>
  <c r="BT28" i="4" s="1"/>
  <c r="BU50" i="4" a="1"/>
  <c r="BU50" i="4" s="1"/>
  <c r="BU34" i="4" a="1"/>
  <c r="BU34" i="4" s="1"/>
  <c r="BU36" i="4" s="1"/>
  <c r="BU18" i="4" a="1"/>
  <c r="BU18" i="4" s="1"/>
  <c r="BR31" i="4" a="1"/>
  <c r="BR31" i="4" s="1"/>
  <c r="BR42" i="4" s="1"/>
  <c r="BU38" i="4" a="1"/>
  <c r="BU38" i="4" s="1"/>
  <c r="BS32" i="4" a="1"/>
  <c r="BS32" i="4" s="1"/>
  <c r="BT31" i="4" a="1"/>
  <c r="BT31" i="4" s="1"/>
  <c r="BT42" i="4" s="1"/>
  <c r="BT12" i="4" a="1"/>
  <c r="BT12" i="4" s="1"/>
  <c r="BT23" i="4" s="1"/>
  <c r="BU45" i="4" a="1"/>
  <c r="BU45" i="4" s="1"/>
  <c r="BR50" i="4" a="1"/>
  <c r="BR50" i="4" s="1"/>
  <c r="BR34" i="4" a="1"/>
  <c r="BR34" i="4" s="1"/>
  <c r="BR36" i="4" s="1"/>
  <c r="BR18" i="4" a="1"/>
  <c r="BR18" i="4" s="1"/>
  <c r="BS55" i="4" a="1"/>
  <c r="BS55" i="4" s="1"/>
  <c r="BS48" i="4" a="1"/>
  <c r="BS48" i="4" s="1"/>
  <c r="BS41" i="4" a="1"/>
  <c r="BS41" i="4" s="1"/>
  <c r="BS11" i="4" a="1"/>
  <c r="BS11" i="4" s="1"/>
  <c r="BT54" i="4" a="1"/>
  <c r="BT54" i="4" s="1"/>
  <c r="BT47" i="4" a="1"/>
  <c r="BT47" i="4" s="1"/>
  <c r="BT41" i="4" a="1"/>
  <c r="BT41" i="4" s="1"/>
  <c r="BU49" i="4" a="1"/>
  <c r="BU49" i="4" s="1"/>
  <c r="BU41" i="4" a="1"/>
  <c r="BU41" i="4" s="1"/>
  <c r="BU33" i="4" a="1"/>
  <c r="BU33" i="4" s="1"/>
  <c r="BU17" i="4" a="1"/>
  <c r="BU17" i="4" s="1"/>
  <c r="BU29" i="4" s="1"/>
  <c r="BR55" i="4" a="1"/>
  <c r="BR55" i="4" s="1"/>
  <c r="BR54" i="4" a="1"/>
  <c r="BR54" i="4" s="1"/>
  <c r="BS54" i="4" a="1"/>
  <c r="BS54" i="4" s="1"/>
  <c r="BS47" i="4" a="1"/>
  <c r="BS47" i="4" s="1"/>
  <c r="BS34" i="4" a="1"/>
  <c r="BS34" i="4" s="1"/>
  <c r="BS36" i="4" s="1"/>
  <c r="BS16" i="4" a="1"/>
  <c r="BS16" i="4" s="1"/>
  <c r="BS28" i="4" s="1"/>
  <c r="BT53" i="4" a="1"/>
  <c r="BT53" i="4" s="1"/>
  <c r="BT40" i="4" a="1"/>
  <c r="BT40" i="4" s="1"/>
  <c r="BT34" i="4" a="1"/>
  <c r="BT34" i="4" s="1"/>
  <c r="BT36" i="4" s="1"/>
  <c r="BU48" i="4" a="1"/>
  <c r="BU48" i="4" s="1"/>
  <c r="BU40" i="4" a="1"/>
  <c r="BU40" i="4" s="1"/>
  <c r="BU32" i="4" a="1"/>
  <c r="BU32" i="4" s="1"/>
  <c r="BU24" i="4" a="1"/>
  <c r="BU24" i="4" s="1"/>
  <c r="BU16" i="4" a="1"/>
  <c r="BU16" i="4" s="1"/>
  <c r="BU28" i="4" s="1"/>
  <c r="AX3" i="4" l="1" a="1"/>
  <c r="AX3" i="4" s="1"/>
  <c r="AX40" i="4" a="1"/>
  <c r="AX40" i="4" s="1"/>
  <c r="AW27" i="4" a="1"/>
  <c r="AW27" i="4" s="1"/>
  <c r="AX6" i="4" a="1"/>
  <c r="AX6" i="4" s="1"/>
  <c r="AX12" i="4" a="1"/>
  <c r="AX12" i="4" s="1"/>
  <c r="AX23" i="4" s="1"/>
  <c r="AX34" i="4" a="1"/>
  <c r="AX34" i="4" s="1"/>
  <c r="AW9" i="4" a="1"/>
  <c r="AW9" i="4" s="1"/>
  <c r="AW7" i="4" a="1"/>
  <c r="AW7" i="4" s="1"/>
  <c r="BU22" i="4"/>
  <c r="BU15" i="4"/>
  <c r="BU27" i="4"/>
  <c r="AX22" i="4" a="1"/>
  <c r="AX22" i="4" s="1"/>
  <c r="AW26" i="4" a="1"/>
  <c r="AW26" i="4" s="1"/>
  <c r="AX15" i="4" a="1"/>
  <c r="AX15" i="4" s="1"/>
  <c r="AX32" i="4" a="1"/>
  <c r="AX32" i="4" s="1"/>
  <c r="AW34" i="4" a="1"/>
  <c r="AW34" i="4" s="1"/>
  <c r="AX27" i="4" a="1"/>
  <c r="AX27" i="4" s="1"/>
  <c r="BR22" i="4"/>
  <c r="BR15" i="4"/>
  <c r="BR27" i="4"/>
  <c r="AX14" i="4" a="1"/>
  <c r="AX14" i="4" s="1"/>
  <c r="AW41" i="4" a="1"/>
  <c r="AW41" i="4" s="1"/>
  <c r="AX35" i="4" a="1"/>
  <c r="AX35" i="4" s="1"/>
  <c r="AW32" i="4" a="1"/>
  <c r="AW32" i="4" s="1"/>
  <c r="AX26" i="4" a="1"/>
  <c r="AX26" i="4" s="1"/>
  <c r="AX5" i="4" a="1"/>
  <c r="AX5" i="4" s="1"/>
  <c r="AW8" i="4" a="1"/>
  <c r="AW8" i="4" s="1"/>
  <c r="AX18" i="4" a="1"/>
  <c r="AX18" i="4" s="1"/>
  <c r="AX28" i="4" a="1"/>
  <c r="AX28" i="4" s="1"/>
  <c r="AW19" i="4" a="1"/>
  <c r="AW19" i="4" s="1"/>
  <c r="AW35" i="4" a="1"/>
  <c r="AW35" i="4" s="1"/>
  <c r="AX29" i="4" a="1"/>
  <c r="AX29" i="4" s="1"/>
  <c r="AW5" i="4" a="1"/>
  <c r="AW5" i="4" s="1"/>
  <c r="AW20" i="4" a="1"/>
  <c r="AW20" i="4" s="1"/>
  <c r="AW36" i="4" a="1"/>
  <c r="AW36" i="4" s="1"/>
  <c r="AW22" i="4" a="1"/>
  <c r="AW22" i="4" s="1"/>
  <c r="AX33" i="4" a="1"/>
  <c r="AX33" i="4" s="1"/>
  <c r="AX8" i="4" a="1"/>
  <c r="AX8" i="4" s="1"/>
  <c r="AX36" i="4" a="1"/>
  <c r="AX36" i="4" s="1"/>
  <c r="AW28" i="4" a="1"/>
  <c r="AW28" i="4" s="1"/>
  <c r="AX19" i="4" a="1"/>
  <c r="AX19" i="4" s="1"/>
  <c r="AX37" i="4" a="1"/>
  <c r="AX37" i="4" s="1"/>
  <c r="AW12" i="4" a="1"/>
  <c r="AW12" i="4" s="1"/>
  <c r="AW23" i="4" s="1"/>
  <c r="AW29" i="4" a="1"/>
  <c r="AW29" i="4" s="1"/>
  <c r="AX9" i="4" a="1"/>
  <c r="AX9" i="4" s="1"/>
  <c r="AX20" i="4" a="1"/>
  <c r="AX20" i="4" s="1"/>
  <c r="AX30" i="4" a="1"/>
  <c r="AX30" i="4" s="1"/>
  <c r="AX38" i="4" a="1"/>
  <c r="AX38" i="4" s="1"/>
  <c r="AW6" i="4" a="1"/>
  <c r="AW6" i="4" s="1"/>
  <c r="AW13" i="4" a="1"/>
  <c r="AW13" i="4" s="1"/>
  <c r="AW21" i="4" a="1"/>
  <c r="AW21" i="4" s="1"/>
  <c r="AW30" i="4" a="1"/>
  <c r="AW30" i="4" s="1"/>
  <c r="AW37" i="4" a="1"/>
  <c r="AW37" i="4" s="1"/>
  <c r="AX41" i="4" a="1"/>
  <c r="AX41" i="4" s="1"/>
  <c r="AX21" i="4" a="1"/>
  <c r="AX21" i="4" s="1"/>
  <c r="AX31" i="4" a="1"/>
  <c r="AX31" i="4" s="1"/>
  <c r="AX25" i="4" a="1"/>
  <c r="AX25" i="4" s="1"/>
  <c r="AW33" i="4" a="1"/>
  <c r="AW33" i="4" s="1"/>
  <c r="AW38" i="4" a="1"/>
  <c r="AW38" i="4" s="1"/>
  <c r="AW25" i="4" a="1"/>
  <c r="AW25" i="4" s="1"/>
  <c r="AX10" i="4" a="1"/>
  <c r="AX10" i="4" s="1"/>
  <c r="AX39" i="4" a="1"/>
  <c r="AX39" i="4" s="1"/>
  <c r="AW31" i="4" a="1"/>
  <c r="AW31" i="4" s="1"/>
  <c r="AX13" i="4" a="1"/>
  <c r="AX13" i="4" s="1"/>
  <c r="AW40" i="4" a="1"/>
  <c r="AW40" i="4" s="1"/>
  <c r="AW14" i="4" a="1"/>
  <c r="AW14" i="4" s="1"/>
  <c r="AW15" i="4" a="1"/>
  <c r="AW15" i="4" s="1"/>
  <c r="AW4" i="4" a="1"/>
  <c r="AW4" i="4" s="1"/>
  <c r="AW39" i="4" a="1"/>
  <c r="AW39" i="4" s="1"/>
  <c r="AW10" i="4" a="1"/>
  <c r="AW10" i="4" s="1"/>
  <c r="BS22" i="4"/>
  <c r="BS15" i="4"/>
  <c r="BS27" i="4"/>
  <c r="AX17" i="4"/>
  <c r="AX24" i="4"/>
  <c r="BT22" i="4"/>
  <c r="BT15" i="4"/>
  <c r="BT27" i="4"/>
  <c r="AW3" i="4" a="1"/>
  <c r="AW3" i="4" s="1"/>
  <c r="AX4" i="4" a="1"/>
  <c r="AX4" i="4" s="1"/>
  <c r="AW18" i="4" a="1"/>
  <c r="AW18" i="4" s="1"/>
  <c r="AX7" i="4" a="1"/>
  <c r="AX7" i="4" s="1"/>
  <c r="E12" i="4"/>
  <c r="E13" i="4"/>
  <c r="E14" i="4"/>
  <c r="E15" i="4"/>
  <c r="E16" i="4"/>
  <c r="E21" i="4"/>
  <c r="E3" i="4"/>
  <c r="N56" i="2"/>
  <c r="N57" i="2"/>
  <c r="N58" i="2"/>
  <c r="N59" i="2"/>
  <c r="N55" i="2"/>
  <c r="U4" i="4"/>
  <c r="U5" i="4" s="1"/>
  <c r="U6" i="4" s="1"/>
  <c r="U7" i="4" s="1"/>
  <c r="U8" i="4" s="1"/>
  <c r="U9" i="4" s="1"/>
  <c r="U10" i="4" s="1"/>
  <c r="U11" i="4" s="1"/>
  <c r="U12" i="4" s="1"/>
  <c r="U13" i="4" s="1"/>
  <c r="U14" i="4" s="1"/>
  <c r="U15" i="4" s="1"/>
  <c r="U16" i="4" s="1"/>
  <c r="U17" i="4" s="1"/>
  <c r="U18" i="4" s="1"/>
  <c r="U19" i="4" s="1"/>
  <c r="U20" i="4" s="1"/>
  <c r="U21" i="4" s="1"/>
  <c r="U22" i="4" s="1"/>
  <c r="W7" i="4"/>
  <c r="X7" i="4"/>
  <c r="Y7" i="4"/>
  <c r="W6" i="4"/>
  <c r="X6" i="4"/>
  <c r="Y6" i="4"/>
  <c r="V7" i="4"/>
  <c r="V6" i="4"/>
  <c r="V5" i="4"/>
  <c r="Y4" i="4"/>
  <c r="Y5" i="4"/>
  <c r="X4" i="4"/>
  <c r="X5" i="4"/>
  <c r="W4" i="4"/>
  <c r="W5" i="4"/>
  <c r="W3" i="4"/>
  <c r="X3" i="4"/>
  <c r="Y3" i="4"/>
  <c r="V4" i="4"/>
  <c r="W19" i="4"/>
  <c r="W20" i="4"/>
  <c r="W21" i="4"/>
  <c r="W22" i="4"/>
  <c r="W18" i="4"/>
  <c r="V19" i="4"/>
  <c r="V20" i="4"/>
  <c r="V21" i="4"/>
  <c r="V22" i="4"/>
  <c r="V18" i="4"/>
  <c r="W9" i="4"/>
  <c r="W10" i="4"/>
  <c r="W11" i="4"/>
  <c r="W12" i="4"/>
  <c r="W13" i="4"/>
  <c r="W14" i="4"/>
  <c r="W15" i="4"/>
  <c r="W16" i="4"/>
  <c r="W17" i="4"/>
  <c r="V9" i="4"/>
  <c r="V10" i="4"/>
  <c r="V11" i="4"/>
  <c r="V12" i="4"/>
  <c r="V13" i="4"/>
  <c r="V14" i="4"/>
  <c r="V15" i="4"/>
  <c r="V16" i="4"/>
  <c r="V17" i="4"/>
  <c r="V8" i="4"/>
  <c r="W8" i="4"/>
  <c r="Y9" i="4"/>
  <c r="Y10" i="4"/>
  <c r="Y11" i="4"/>
  <c r="Y12" i="4"/>
  <c r="Y13" i="4"/>
  <c r="Y14" i="4"/>
  <c r="Y15" i="4"/>
  <c r="Y16" i="4"/>
  <c r="Y17" i="4"/>
  <c r="X9" i="4"/>
  <c r="X10" i="4"/>
  <c r="X11" i="4"/>
  <c r="X12" i="4"/>
  <c r="X13" i="4"/>
  <c r="X14" i="4"/>
  <c r="X15" i="4"/>
  <c r="X16" i="4"/>
  <c r="X17" i="4"/>
  <c r="Y8" i="4"/>
  <c r="X8" i="4"/>
  <c r="B22" i="4"/>
  <c r="B23" i="4" s="1"/>
  <c r="B24" i="4" s="1"/>
  <c r="E24" i="4" s="1"/>
  <c r="B17" i="4"/>
  <c r="B18" i="4" s="1"/>
  <c r="B19" i="4" s="1"/>
  <c r="B20" i="4" s="1"/>
  <c r="E20" i="4" s="1"/>
  <c r="L21" i="4" l="1"/>
  <c r="M21" i="4"/>
  <c r="L16" i="4"/>
  <c r="M16" i="4"/>
  <c r="L14" i="4"/>
  <c r="M14" i="4"/>
  <c r="L12" i="4"/>
  <c r="M12" i="4"/>
  <c r="L15" i="4"/>
  <c r="M15" i="4"/>
  <c r="L13" i="4"/>
  <c r="M13" i="4"/>
  <c r="L20" i="4"/>
  <c r="M20" i="4"/>
  <c r="L24" i="4"/>
  <c r="M24" i="4"/>
  <c r="L3" i="4"/>
  <c r="M3" i="4"/>
  <c r="Z15" i="4"/>
  <c r="Z6" i="4"/>
  <c r="Z14" i="4"/>
  <c r="Z13" i="4"/>
  <c r="Z10" i="4"/>
  <c r="AW17" i="4"/>
  <c r="AW24" i="4"/>
  <c r="Z16" i="4"/>
  <c r="Z7" i="4"/>
  <c r="AW11" i="4"/>
  <c r="AW16" i="4"/>
  <c r="AX11" i="4"/>
  <c r="AX16" i="4"/>
  <c r="Z12" i="4"/>
  <c r="Z5" i="4"/>
  <c r="Z3" i="4"/>
  <c r="AD5" i="4" s="1" a="1"/>
  <c r="AD5" i="4" s="1"/>
  <c r="Z8" i="4"/>
  <c r="Z11" i="4"/>
  <c r="Z4" i="4"/>
  <c r="Z17" i="4"/>
  <c r="Z9" i="4"/>
  <c r="E17" i="4"/>
  <c r="E18" i="4"/>
  <c r="E19" i="4"/>
  <c r="E23" i="4"/>
  <c r="E22" i="4"/>
  <c r="G6" i="4"/>
  <c r="O6" i="4" s="1"/>
  <c r="P6" i="4" s="1"/>
  <c r="G5" i="4"/>
  <c r="O5" i="4" s="1"/>
  <c r="P5" i="4" s="1"/>
  <c r="F6" i="4"/>
  <c r="N6" i="4" s="1"/>
  <c r="F5" i="4"/>
  <c r="N5" i="4" s="1"/>
  <c r="D6" i="4"/>
  <c r="D5" i="4"/>
  <c r="G4" i="4"/>
  <c r="O4" i="4" s="1"/>
  <c r="F4" i="4"/>
  <c r="N4" i="4" s="1"/>
  <c r="D4" i="4"/>
  <c r="C6" i="4"/>
  <c r="C5" i="4"/>
  <c r="C4" i="4"/>
  <c r="G8" i="4"/>
  <c r="O8" i="4" s="1"/>
  <c r="P8" i="4" s="1"/>
  <c r="G10" i="4"/>
  <c r="O10" i="4" s="1"/>
  <c r="P10" i="4" s="1"/>
  <c r="G9" i="4"/>
  <c r="O9" i="4" s="1"/>
  <c r="P9" i="4" s="1"/>
  <c r="F8" i="4"/>
  <c r="N8" i="4" s="1"/>
  <c r="F10" i="4"/>
  <c r="N10" i="4" s="1"/>
  <c r="F9" i="4"/>
  <c r="N9" i="4" s="1"/>
  <c r="D8" i="4"/>
  <c r="D10" i="4"/>
  <c r="D9" i="4"/>
  <c r="C8" i="4"/>
  <c r="C10" i="4"/>
  <c r="C9" i="4"/>
  <c r="C20" i="4"/>
  <c r="C22" i="4"/>
  <c r="C12" i="4"/>
  <c r="C14" i="4"/>
  <c r="C17" i="4"/>
  <c r="C15" i="4"/>
  <c r="C11" i="4"/>
  <c r="C13" i="4"/>
  <c r="C19" i="4"/>
  <c r="C18" i="4"/>
  <c r="C23" i="4"/>
  <c r="C21" i="4"/>
  <c r="C24" i="4"/>
  <c r="C16" i="4"/>
  <c r="CE7" i="6"/>
  <c r="CD7" i="6"/>
  <c r="CC7" i="6"/>
  <c r="CB7" i="6"/>
  <c r="CE6" i="6"/>
  <c r="CD6" i="6"/>
  <c r="CC6" i="6"/>
  <c r="CB6" i="6"/>
  <c r="CE5" i="6"/>
  <c r="CD5" i="6"/>
  <c r="CC5" i="6"/>
  <c r="CB5" i="6"/>
  <c r="CE4" i="6"/>
  <c r="CD4" i="6"/>
  <c r="CC4" i="6"/>
  <c r="CB4" i="6"/>
  <c r="CE3" i="6"/>
  <c r="CD3" i="6"/>
  <c r="CC3" i="6"/>
  <c r="CB3" i="6"/>
  <c r="BO4" i="6"/>
  <c r="BO5" i="6"/>
  <c r="BO6" i="6"/>
  <c r="BO7" i="6"/>
  <c r="BO8" i="6"/>
  <c r="BO9" i="6"/>
  <c r="BO10" i="6"/>
  <c r="BO11" i="6"/>
  <c r="BO12" i="6"/>
  <c r="BO13" i="6"/>
  <c r="BO14" i="6"/>
  <c r="BO15" i="6"/>
  <c r="BO16" i="6"/>
  <c r="BO17" i="6"/>
  <c r="BO18" i="6"/>
  <c r="BO19" i="6"/>
  <c r="BO20" i="6"/>
  <c r="BO21" i="6"/>
  <c r="BO22" i="6"/>
  <c r="BO23" i="6"/>
  <c r="BO24" i="6"/>
  <c r="BO25" i="6"/>
  <c r="BO26" i="6"/>
  <c r="BO27" i="6"/>
  <c r="BO28" i="6"/>
  <c r="BO29" i="6"/>
  <c r="BO30" i="6"/>
  <c r="BO31" i="6"/>
  <c r="BO32" i="6"/>
  <c r="BO33" i="6"/>
  <c r="BO34" i="6"/>
  <c r="BO35" i="6"/>
  <c r="BO36" i="6"/>
  <c r="BO37" i="6"/>
  <c r="BO38" i="6"/>
  <c r="BO39" i="6"/>
  <c r="BO40" i="6"/>
  <c r="BO41" i="6"/>
  <c r="BO42" i="6"/>
  <c r="BO43" i="6"/>
  <c r="BO44" i="6"/>
  <c r="BO45" i="6"/>
  <c r="BO46" i="6"/>
  <c r="BO47" i="6"/>
  <c r="BO48" i="6"/>
  <c r="BO49" i="6"/>
  <c r="BO50" i="6"/>
  <c r="BO51" i="6"/>
  <c r="BO52" i="6"/>
  <c r="BO53" i="6"/>
  <c r="BO54" i="6"/>
  <c r="BO55" i="6"/>
  <c r="BO56" i="6"/>
  <c r="BO57" i="6"/>
  <c r="BO58" i="6"/>
  <c r="BO59" i="6"/>
  <c r="BO60" i="6"/>
  <c r="BO61" i="6"/>
  <c r="BO62" i="6"/>
  <c r="BO63" i="6"/>
  <c r="BO64" i="6"/>
  <c r="BO65" i="6"/>
  <c r="BO66" i="6"/>
  <c r="BO67" i="6"/>
  <c r="BO68" i="6"/>
  <c r="BO69" i="6"/>
  <c r="BO70" i="6"/>
  <c r="BO71" i="6"/>
  <c r="BO72" i="6"/>
  <c r="BO73" i="6"/>
  <c r="BO74" i="6"/>
  <c r="BO75" i="6"/>
  <c r="BO76" i="6"/>
  <c r="BO77" i="6"/>
  <c r="BO78" i="6"/>
  <c r="BO79" i="6"/>
  <c r="BO80" i="6"/>
  <c r="BO81" i="6"/>
  <c r="BO82" i="6"/>
  <c r="BO83" i="6"/>
  <c r="BN4" i="6"/>
  <c r="BN5" i="6"/>
  <c r="BN6" i="6"/>
  <c r="BN7" i="6"/>
  <c r="BN8" i="6"/>
  <c r="BN9" i="6"/>
  <c r="BN10" i="6"/>
  <c r="BN11" i="6"/>
  <c r="BN12" i="6"/>
  <c r="BN13" i="6"/>
  <c r="BN14" i="6"/>
  <c r="BN15" i="6"/>
  <c r="BN16" i="6"/>
  <c r="BN17" i="6"/>
  <c r="BN18" i="6"/>
  <c r="BN19" i="6"/>
  <c r="BN20" i="6"/>
  <c r="BN21" i="6"/>
  <c r="BN22" i="6"/>
  <c r="BN23" i="6"/>
  <c r="BN24" i="6"/>
  <c r="BN25" i="6"/>
  <c r="BN26" i="6"/>
  <c r="BN27" i="6"/>
  <c r="BN28" i="6"/>
  <c r="BN29" i="6"/>
  <c r="BN30" i="6"/>
  <c r="BN31" i="6"/>
  <c r="BN32" i="6"/>
  <c r="BN33" i="6"/>
  <c r="BN34" i="6"/>
  <c r="BN35" i="6"/>
  <c r="BN36" i="6"/>
  <c r="BN37" i="6"/>
  <c r="BN38" i="6"/>
  <c r="BN39" i="6"/>
  <c r="BN40" i="6"/>
  <c r="BN41" i="6"/>
  <c r="BN42" i="6"/>
  <c r="BN43" i="6"/>
  <c r="BN44" i="6"/>
  <c r="BN45" i="6"/>
  <c r="BN46" i="6"/>
  <c r="BN47" i="6"/>
  <c r="BN48" i="6"/>
  <c r="BN49" i="6"/>
  <c r="BN50" i="6"/>
  <c r="BN51" i="6"/>
  <c r="BN52" i="6"/>
  <c r="BN53" i="6"/>
  <c r="BN54" i="6"/>
  <c r="BN55" i="6"/>
  <c r="BN56" i="6"/>
  <c r="BN57" i="6"/>
  <c r="BN58" i="6"/>
  <c r="BN59" i="6"/>
  <c r="BN60" i="6"/>
  <c r="BN61" i="6"/>
  <c r="BN62" i="6"/>
  <c r="BN63" i="6"/>
  <c r="BN64" i="6"/>
  <c r="BN65" i="6"/>
  <c r="BN66" i="6"/>
  <c r="BN67" i="6"/>
  <c r="BN68" i="6"/>
  <c r="BN69" i="6"/>
  <c r="BN70" i="6"/>
  <c r="BN71" i="6"/>
  <c r="BN72" i="6"/>
  <c r="BN73" i="6"/>
  <c r="BN74" i="6"/>
  <c r="BN75" i="6"/>
  <c r="BN76" i="6"/>
  <c r="BN77" i="6"/>
  <c r="BN78" i="6"/>
  <c r="BN79" i="6"/>
  <c r="BN80" i="6"/>
  <c r="BN81" i="6"/>
  <c r="BN82" i="6"/>
  <c r="BN83" i="6"/>
  <c r="BM4" i="6"/>
  <c r="BM5" i="6"/>
  <c r="BM6" i="6"/>
  <c r="BM7" i="6"/>
  <c r="BM8" i="6"/>
  <c r="BM9" i="6"/>
  <c r="BM10" i="6"/>
  <c r="BM11" i="6"/>
  <c r="BM12" i="6"/>
  <c r="BM13" i="6"/>
  <c r="BM14" i="6"/>
  <c r="BM15" i="6"/>
  <c r="BM16" i="6"/>
  <c r="BM17" i="6"/>
  <c r="BM18" i="6"/>
  <c r="BM19" i="6"/>
  <c r="BM20" i="6"/>
  <c r="BM21" i="6"/>
  <c r="BM22" i="6"/>
  <c r="BM23" i="6"/>
  <c r="BM24" i="6"/>
  <c r="BM25" i="6"/>
  <c r="BM26" i="6"/>
  <c r="BM27" i="6"/>
  <c r="BM28" i="6"/>
  <c r="BM29" i="6"/>
  <c r="BM30" i="6"/>
  <c r="BM31" i="6"/>
  <c r="BM32" i="6"/>
  <c r="BM33" i="6"/>
  <c r="BM34" i="6"/>
  <c r="BM35" i="6"/>
  <c r="BM36" i="6"/>
  <c r="BM37" i="6"/>
  <c r="BM38" i="6"/>
  <c r="BM39" i="6"/>
  <c r="BM40" i="6"/>
  <c r="BM41" i="6"/>
  <c r="BM42" i="6"/>
  <c r="BM43" i="6"/>
  <c r="BM44" i="6"/>
  <c r="BM45" i="6"/>
  <c r="BM46" i="6"/>
  <c r="BM47" i="6"/>
  <c r="BM48" i="6"/>
  <c r="BM49" i="6"/>
  <c r="BM50" i="6"/>
  <c r="BM51" i="6"/>
  <c r="BM52" i="6"/>
  <c r="BM53" i="6"/>
  <c r="BM54" i="6"/>
  <c r="BM55" i="6"/>
  <c r="BM56" i="6"/>
  <c r="BM57" i="6"/>
  <c r="BM58" i="6"/>
  <c r="BM59" i="6"/>
  <c r="BM60" i="6"/>
  <c r="BM61" i="6"/>
  <c r="BM62" i="6"/>
  <c r="BM63" i="6"/>
  <c r="BM64" i="6"/>
  <c r="BM65" i="6"/>
  <c r="BM66" i="6"/>
  <c r="BM67" i="6"/>
  <c r="BM68" i="6"/>
  <c r="BM69" i="6"/>
  <c r="BM70" i="6"/>
  <c r="BM71" i="6"/>
  <c r="BM72" i="6"/>
  <c r="BM73" i="6"/>
  <c r="BM74" i="6"/>
  <c r="BM75" i="6"/>
  <c r="BM76" i="6"/>
  <c r="BM77" i="6"/>
  <c r="BM78" i="6"/>
  <c r="BM79" i="6"/>
  <c r="BM80" i="6"/>
  <c r="BM81" i="6"/>
  <c r="BM82" i="6"/>
  <c r="BM83" i="6"/>
  <c r="BM3" i="6"/>
  <c r="BN3" i="6"/>
  <c r="BO3" i="6"/>
  <c r="BL4" i="6"/>
  <c r="BL5" i="6"/>
  <c r="BL6" i="6"/>
  <c r="BL7" i="6"/>
  <c r="BL8" i="6"/>
  <c r="BL9" i="6"/>
  <c r="BL10" i="6"/>
  <c r="BL11" i="6"/>
  <c r="BL12" i="6"/>
  <c r="BL13" i="6"/>
  <c r="BL14" i="6"/>
  <c r="BL15" i="6"/>
  <c r="BL16" i="6"/>
  <c r="BL17" i="6"/>
  <c r="BL18" i="6"/>
  <c r="BL19" i="6"/>
  <c r="BL20" i="6"/>
  <c r="BL21" i="6"/>
  <c r="BL22" i="6"/>
  <c r="BL23" i="6"/>
  <c r="BL24" i="6"/>
  <c r="BL25" i="6"/>
  <c r="BL26" i="6"/>
  <c r="BL27" i="6"/>
  <c r="BL28" i="6"/>
  <c r="BL29" i="6"/>
  <c r="BL30" i="6"/>
  <c r="BL31" i="6"/>
  <c r="BL32" i="6"/>
  <c r="BL33" i="6"/>
  <c r="BL34" i="6"/>
  <c r="BL35" i="6"/>
  <c r="BL36" i="6"/>
  <c r="BL37" i="6"/>
  <c r="BL38" i="6"/>
  <c r="BL39" i="6"/>
  <c r="BL40" i="6"/>
  <c r="BL41" i="6"/>
  <c r="BL42" i="6"/>
  <c r="BL43" i="6"/>
  <c r="BL44" i="6"/>
  <c r="BL45" i="6"/>
  <c r="BL46" i="6"/>
  <c r="BL47" i="6"/>
  <c r="BL48" i="6"/>
  <c r="BL49" i="6"/>
  <c r="BL50" i="6"/>
  <c r="BL51" i="6"/>
  <c r="BL52" i="6"/>
  <c r="BL53" i="6"/>
  <c r="BL54" i="6"/>
  <c r="BL55" i="6"/>
  <c r="BL56" i="6"/>
  <c r="BL57" i="6"/>
  <c r="BL58" i="6"/>
  <c r="BL59" i="6"/>
  <c r="BL60" i="6"/>
  <c r="BL61" i="6"/>
  <c r="BL62" i="6"/>
  <c r="BL63" i="6"/>
  <c r="BL64" i="6"/>
  <c r="BL65" i="6"/>
  <c r="BL66" i="6"/>
  <c r="BL67" i="6"/>
  <c r="BL68" i="6"/>
  <c r="BL69" i="6"/>
  <c r="BL70" i="6"/>
  <c r="BL71" i="6"/>
  <c r="BL72" i="6"/>
  <c r="BL73" i="6"/>
  <c r="BL74" i="6"/>
  <c r="BL75" i="6"/>
  <c r="BL76" i="6"/>
  <c r="BL77" i="6"/>
  <c r="BL78" i="6"/>
  <c r="BL79" i="6"/>
  <c r="BL80" i="6"/>
  <c r="BL81" i="6"/>
  <c r="BL82" i="6"/>
  <c r="BL83" i="6"/>
  <c r="BL3" i="6"/>
  <c r="AY7" i="6"/>
  <c r="AX7" i="6"/>
  <c r="AW7" i="6"/>
  <c r="AY6" i="6"/>
  <c r="AX6" i="6"/>
  <c r="AW6" i="6"/>
  <c r="AY5" i="6"/>
  <c r="AX5" i="6"/>
  <c r="AW5" i="6"/>
  <c r="AY4" i="6"/>
  <c r="AX4" i="6"/>
  <c r="AW4" i="6"/>
  <c r="AY3" i="6"/>
  <c r="AX3" i="6"/>
  <c r="AW3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O33" i="6"/>
  <c r="AO34" i="6"/>
  <c r="AO35" i="6"/>
  <c r="AO36" i="6"/>
  <c r="AO37" i="6"/>
  <c r="AO38" i="6"/>
  <c r="AO39" i="6"/>
  <c r="AO40" i="6"/>
  <c r="AO41" i="6"/>
  <c r="AO42" i="6"/>
  <c r="AO43" i="6"/>
  <c r="AO44" i="6"/>
  <c r="AO45" i="6"/>
  <c r="AO46" i="6"/>
  <c r="AO47" i="6"/>
  <c r="AO48" i="6"/>
  <c r="AO49" i="6"/>
  <c r="AO50" i="6"/>
  <c r="AO51" i="6"/>
  <c r="AO52" i="6"/>
  <c r="AO53" i="6"/>
  <c r="AO54" i="6"/>
  <c r="AO55" i="6"/>
  <c r="AO56" i="6"/>
  <c r="AO57" i="6"/>
  <c r="AO58" i="6"/>
  <c r="AO59" i="6"/>
  <c r="AO60" i="6"/>
  <c r="AO61" i="6"/>
  <c r="AO62" i="6"/>
  <c r="AO63" i="6"/>
  <c r="AO64" i="6"/>
  <c r="AO65" i="6"/>
  <c r="AO66" i="6"/>
  <c r="AO67" i="6"/>
  <c r="AO68" i="6"/>
  <c r="AO69" i="6"/>
  <c r="AO70" i="6"/>
  <c r="AO71" i="6"/>
  <c r="AO72" i="6"/>
  <c r="AO73" i="6"/>
  <c r="AO74" i="6"/>
  <c r="AO75" i="6"/>
  <c r="AO76" i="6"/>
  <c r="AO77" i="6"/>
  <c r="AO78" i="6"/>
  <c r="AO79" i="6"/>
  <c r="AO80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N33" i="6"/>
  <c r="AN34" i="6"/>
  <c r="AN35" i="6"/>
  <c r="AN36" i="6"/>
  <c r="AN37" i="6"/>
  <c r="AN38" i="6"/>
  <c r="AN39" i="6"/>
  <c r="AN40" i="6"/>
  <c r="AN41" i="6"/>
  <c r="AN42" i="6"/>
  <c r="AN43" i="6"/>
  <c r="AN44" i="6"/>
  <c r="AN45" i="6"/>
  <c r="AN46" i="6"/>
  <c r="AN47" i="6"/>
  <c r="AN48" i="6"/>
  <c r="AN49" i="6"/>
  <c r="AN50" i="6"/>
  <c r="AN51" i="6"/>
  <c r="AN52" i="6"/>
  <c r="AN53" i="6"/>
  <c r="AN54" i="6"/>
  <c r="AN55" i="6"/>
  <c r="AN56" i="6"/>
  <c r="AN57" i="6"/>
  <c r="AN58" i="6"/>
  <c r="AN59" i="6"/>
  <c r="AN60" i="6"/>
  <c r="AN61" i="6"/>
  <c r="AN62" i="6"/>
  <c r="AN63" i="6"/>
  <c r="AN64" i="6"/>
  <c r="AN65" i="6"/>
  <c r="AN66" i="6"/>
  <c r="AN67" i="6"/>
  <c r="AN68" i="6"/>
  <c r="AN69" i="6"/>
  <c r="AN70" i="6"/>
  <c r="AN71" i="6"/>
  <c r="AN72" i="6"/>
  <c r="AN73" i="6"/>
  <c r="AN74" i="6"/>
  <c r="AN75" i="6"/>
  <c r="AN76" i="6"/>
  <c r="AN77" i="6"/>
  <c r="AN78" i="6"/>
  <c r="AN79" i="6"/>
  <c r="AN80" i="6"/>
  <c r="AN3" i="6"/>
  <c r="AO3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M33" i="6"/>
  <c r="AM34" i="6"/>
  <c r="AM35" i="6"/>
  <c r="AM36" i="6"/>
  <c r="AM37" i="6"/>
  <c r="AM38" i="6"/>
  <c r="AM39" i="6"/>
  <c r="AM40" i="6"/>
  <c r="AM41" i="6"/>
  <c r="AM42" i="6"/>
  <c r="AM43" i="6"/>
  <c r="AM44" i="6"/>
  <c r="AM45" i="6"/>
  <c r="AM46" i="6"/>
  <c r="AM47" i="6"/>
  <c r="AM48" i="6"/>
  <c r="AM49" i="6"/>
  <c r="AM50" i="6"/>
  <c r="AM51" i="6"/>
  <c r="AM52" i="6"/>
  <c r="AM53" i="6"/>
  <c r="AM54" i="6"/>
  <c r="AM55" i="6"/>
  <c r="AM56" i="6"/>
  <c r="AM57" i="6"/>
  <c r="AM58" i="6"/>
  <c r="AM59" i="6"/>
  <c r="AM60" i="6"/>
  <c r="AM61" i="6"/>
  <c r="AM62" i="6"/>
  <c r="AM63" i="6"/>
  <c r="AM64" i="6"/>
  <c r="AM65" i="6"/>
  <c r="AM66" i="6"/>
  <c r="AM67" i="6"/>
  <c r="AM68" i="6"/>
  <c r="AM69" i="6"/>
  <c r="AM70" i="6"/>
  <c r="AM71" i="6"/>
  <c r="AM72" i="6"/>
  <c r="AM73" i="6"/>
  <c r="AM74" i="6"/>
  <c r="AM75" i="6"/>
  <c r="AM76" i="6"/>
  <c r="AM77" i="6"/>
  <c r="AM78" i="6"/>
  <c r="AM79" i="6"/>
  <c r="AM80" i="6"/>
  <c r="AM3" i="6"/>
  <c r="AE5" i="6"/>
  <c r="AD5" i="6"/>
  <c r="AE4" i="6"/>
  <c r="AD4" i="6"/>
  <c r="AE3" i="6"/>
  <c r="AD3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W33" i="6"/>
  <c r="W34" i="6"/>
  <c r="W35" i="6"/>
  <c r="W36" i="6"/>
  <c r="W37" i="6"/>
  <c r="W38" i="6"/>
  <c r="W39" i="6"/>
  <c r="W40" i="6"/>
  <c r="W41" i="6"/>
  <c r="W42" i="6"/>
  <c r="W43" i="6"/>
  <c r="W44" i="6"/>
  <c r="W45" i="6"/>
  <c r="W3" i="6"/>
  <c r="V4" i="6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V33" i="6"/>
  <c r="V34" i="6"/>
  <c r="V35" i="6"/>
  <c r="V36" i="6"/>
  <c r="V37" i="6"/>
  <c r="V38" i="6"/>
  <c r="V39" i="6"/>
  <c r="V40" i="6"/>
  <c r="V41" i="6"/>
  <c r="V42" i="6"/>
  <c r="V43" i="6"/>
  <c r="V44" i="6"/>
  <c r="V45" i="6"/>
  <c r="V3" i="6"/>
  <c r="L19" i="4" l="1"/>
  <c r="M19" i="4"/>
  <c r="L17" i="4"/>
  <c r="M17" i="4"/>
  <c r="L22" i="4"/>
  <c r="M22" i="4"/>
  <c r="P4" i="4"/>
  <c r="L23" i="4"/>
  <c r="M23" i="4"/>
  <c r="L18" i="4"/>
  <c r="M18" i="4"/>
  <c r="AD19" i="4" a="1"/>
  <c r="AD19" i="4" s="1"/>
  <c r="AD23" i="4" a="1"/>
  <c r="AD23" i="4" s="1"/>
  <c r="AD18" i="4" a="1"/>
  <c r="AD18" i="4" s="1"/>
  <c r="AD4" i="4" a="1"/>
  <c r="AD4" i="4" s="1"/>
  <c r="AD6" i="4" a="1"/>
  <c r="AD6" i="4" s="1"/>
  <c r="AD10" i="4" a="1"/>
  <c r="AD10" i="4" s="1"/>
  <c r="AD22" i="4" a="1"/>
  <c r="AD22" i="4" s="1"/>
  <c r="AD7" i="4" a="1"/>
  <c r="AD7" i="4" s="1"/>
  <c r="AD12" i="4" a="1"/>
  <c r="AD12" i="4" s="1"/>
  <c r="AD3" i="4" a="1"/>
  <c r="AD3" i="4" s="1"/>
  <c r="AD8" i="4" a="1"/>
  <c r="AD8" i="4" s="1"/>
  <c r="AD9" i="4" s="1"/>
  <c r="AD11" i="4" a="1"/>
  <c r="AD11" i="4" s="1"/>
  <c r="AD13" i="4" a="1"/>
  <c r="AD13" i="4" s="1"/>
  <c r="AD14" i="4" a="1"/>
  <c r="AD14" i="4" s="1"/>
  <c r="AE18" i="4" a="1"/>
  <c r="AE18" i="4" s="1"/>
  <c r="AE19" i="4" a="1"/>
  <c r="AE19" i="4" s="1"/>
  <c r="AE22" i="4" a="1"/>
  <c r="AE22" i="4" s="1"/>
  <c r="AE10" i="4" a="1"/>
  <c r="AE10" i="4" s="1"/>
  <c r="AE6" i="4" a="1"/>
  <c r="AE6" i="4" s="1"/>
  <c r="AE11" i="4" a="1"/>
  <c r="AE11" i="4" s="1"/>
  <c r="AE5" i="4" a="1"/>
  <c r="AE5" i="4" s="1"/>
  <c r="AE13" i="4" a="1"/>
  <c r="AE13" i="4" s="1"/>
  <c r="AE14" i="4" a="1"/>
  <c r="AE14" i="4" s="1"/>
  <c r="AE7" i="4" a="1"/>
  <c r="AE7" i="4" s="1"/>
  <c r="AE12" i="4" a="1"/>
  <c r="AE12" i="4" s="1"/>
  <c r="AE8" i="4" a="1"/>
  <c r="AE8" i="4" s="1"/>
  <c r="AE9" i="4" s="1"/>
  <c r="AE3" i="4" a="1"/>
  <c r="AE3" i="4" s="1"/>
  <c r="AE23" i="4" a="1"/>
  <c r="AE23" i="4" s="1"/>
  <c r="AE4" i="4" a="1"/>
  <c r="AE4" i="4" s="1"/>
  <c r="AY4" i="5"/>
  <c r="AX4" i="5"/>
  <c r="AW4" i="5"/>
  <c r="AY3" i="5"/>
  <c r="AX3" i="5"/>
  <c r="AW3" i="5"/>
  <c r="AM4" i="5"/>
  <c r="AN4" i="5"/>
  <c r="AO4" i="5"/>
  <c r="AO5" i="5"/>
  <c r="AN5" i="5"/>
  <c r="AN3" i="5"/>
  <c r="AO3" i="5"/>
  <c r="AM5" i="5"/>
  <c r="AM3" i="5"/>
  <c r="AE4" i="5"/>
  <c r="AD4" i="5"/>
  <c r="AE3" i="5"/>
  <c r="AD3" i="5"/>
  <c r="W4" i="5"/>
  <c r="V4" i="5"/>
  <c r="W3" i="5"/>
  <c r="V3" i="5"/>
  <c r="CE4" i="2"/>
  <c r="CD4" i="2"/>
  <c r="CC4" i="2"/>
  <c r="CB4" i="2"/>
  <c r="CE10" i="2"/>
  <c r="CD10" i="2"/>
  <c r="CC10" i="2"/>
  <c r="CB10" i="2"/>
  <c r="CE11" i="2"/>
  <c r="CD11" i="2"/>
  <c r="CC11" i="2"/>
  <c r="CB11" i="2"/>
  <c r="CE8" i="2"/>
  <c r="CD8" i="2"/>
  <c r="CC8" i="2"/>
  <c r="CB8" i="2"/>
  <c r="CE7" i="2"/>
  <c r="CD7" i="2"/>
  <c r="CC7" i="2"/>
  <c r="CB7" i="2"/>
  <c r="CE12" i="2"/>
  <c r="CD12" i="2"/>
  <c r="CC12" i="2"/>
  <c r="CB12" i="2"/>
  <c r="CE6" i="2"/>
  <c r="CD6" i="2"/>
  <c r="CC6" i="2"/>
  <c r="CB6" i="2"/>
  <c r="CE9" i="2"/>
  <c r="CD9" i="2"/>
  <c r="CC9" i="2"/>
  <c r="CB9" i="2"/>
  <c r="CE5" i="2"/>
  <c r="CD5" i="2"/>
  <c r="CC5" i="2"/>
  <c r="CB5" i="2"/>
  <c r="CE3" i="2"/>
  <c r="CD3" i="2"/>
  <c r="CC3" i="2"/>
  <c r="CB3" i="2"/>
  <c r="BO4" i="2"/>
  <c r="BO5" i="2"/>
  <c r="BO6" i="2"/>
  <c r="BO7" i="2"/>
  <c r="BO8" i="2"/>
  <c r="BO9" i="2"/>
  <c r="BO10" i="2"/>
  <c r="BO11" i="2"/>
  <c r="BO12" i="2"/>
  <c r="BO13" i="2"/>
  <c r="BO14" i="2"/>
  <c r="BO15" i="2"/>
  <c r="BO16" i="2"/>
  <c r="BO17" i="2"/>
  <c r="BO18" i="2"/>
  <c r="BO19" i="2"/>
  <c r="BO20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38" i="2"/>
  <c r="BO39" i="2"/>
  <c r="BN4" i="2"/>
  <c r="BN5" i="2"/>
  <c r="BN6" i="2"/>
  <c r="BN7" i="2"/>
  <c r="BN8" i="2"/>
  <c r="BN9" i="2"/>
  <c r="BN10" i="2"/>
  <c r="BN11" i="2"/>
  <c r="BN12" i="2"/>
  <c r="BN13" i="2"/>
  <c r="BN14" i="2"/>
  <c r="BN15" i="2"/>
  <c r="BN16" i="2"/>
  <c r="BN17" i="2"/>
  <c r="BN18" i="2"/>
  <c r="BN19" i="2"/>
  <c r="BN20" i="2"/>
  <c r="BN21" i="2"/>
  <c r="BN22" i="2"/>
  <c r="BN23" i="2"/>
  <c r="BN24" i="2"/>
  <c r="BN25" i="2"/>
  <c r="BN26" i="2"/>
  <c r="BN27" i="2"/>
  <c r="BN28" i="2"/>
  <c r="BN29" i="2"/>
  <c r="BN30" i="2"/>
  <c r="BN31" i="2"/>
  <c r="BN32" i="2"/>
  <c r="BN33" i="2"/>
  <c r="BN34" i="2"/>
  <c r="BN35" i="2"/>
  <c r="BN36" i="2"/>
  <c r="BN37" i="2"/>
  <c r="BN38" i="2"/>
  <c r="BN39" i="2"/>
  <c r="BM4" i="2"/>
  <c r="BM5" i="2"/>
  <c r="BM6" i="2"/>
  <c r="BM7" i="2"/>
  <c r="BM8" i="2"/>
  <c r="BM9" i="2"/>
  <c r="BM10" i="2"/>
  <c r="BM11" i="2"/>
  <c r="BM12" i="2"/>
  <c r="BM13" i="2"/>
  <c r="BM14" i="2"/>
  <c r="BM15" i="2"/>
  <c r="BM16" i="2"/>
  <c r="BM17" i="2"/>
  <c r="BM18" i="2"/>
  <c r="BM19" i="2"/>
  <c r="BM20" i="2"/>
  <c r="BM21" i="2"/>
  <c r="BM22" i="2"/>
  <c r="BM23" i="2"/>
  <c r="BM24" i="2"/>
  <c r="BM25" i="2"/>
  <c r="BM26" i="2"/>
  <c r="BM27" i="2"/>
  <c r="BM28" i="2"/>
  <c r="BM29" i="2"/>
  <c r="BM30" i="2"/>
  <c r="BM31" i="2"/>
  <c r="BM32" i="2"/>
  <c r="BM33" i="2"/>
  <c r="BM34" i="2"/>
  <c r="BM35" i="2"/>
  <c r="BM36" i="2"/>
  <c r="BM37" i="2"/>
  <c r="BM38" i="2"/>
  <c r="BM39" i="2"/>
  <c r="BM3" i="2"/>
  <c r="BN3" i="2"/>
  <c r="BO3" i="2"/>
  <c r="BL4" i="2"/>
  <c r="BL5" i="2"/>
  <c r="BL6" i="2"/>
  <c r="BL7" i="2"/>
  <c r="BL8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38" i="2"/>
  <c r="BL39" i="2"/>
  <c r="BL3" i="2"/>
  <c r="BO4" i="3"/>
  <c r="BO5" i="3"/>
  <c r="BO6" i="3"/>
  <c r="BO7" i="3"/>
  <c r="BO8" i="3"/>
  <c r="BO9" i="3"/>
  <c r="BO10" i="3"/>
  <c r="BO11" i="3"/>
  <c r="BO12" i="3"/>
  <c r="BO13" i="3"/>
  <c r="BO14" i="3"/>
  <c r="BO15" i="3"/>
  <c r="BO16" i="3"/>
  <c r="BO17" i="3"/>
  <c r="BO18" i="3"/>
  <c r="BO19" i="3"/>
  <c r="BO20" i="3"/>
  <c r="BO21" i="3"/>
  <c r="BO22" i="3"/>
  <c r="BO23" i="3"/>
  <c r="BO24" i="3"/>
  <c r="BO25" i="3"/>
  <c r="BO26" i="3"/>
  <c r="BO27" i="3"/>
  <c r="BO28" i="3"/>
  <c r="BO29" i="3"/>
  <c r="BO30" i="3"/>
  <c r="BO31" i="3"/>
  <c r="BO32" i="3"/>
  <c r="BO33" i="3"/>
  <c r="BO34" i="3"/>
  <c r="BO35" i="3"/>
  <c r="BO36" i="3"/>
  <c r="BO37" i="3"/>
  <c r="BO38" i="3"/>
  <c r="BO39" i="3"/>
  <c r="BO40" i="3"/>
  <c r="BO41" i="3"/>
  <c r="BO42" i="3"/>
  <c r="BO43" i="3"/>
  <c r="BO44" i="3"/>
  <c r="BO45" i="3"/>
  <c r="BO46" i="3"/>
  <c r="BN4" i="3"/>
  <c r="BN5" i="3"/>
  <c r="BN6" i="3"/>
  <c r="BN7" i="3"/>
  <c r="BN8" i="3"/>
  <c r="BN9" i="3"/>
  <c r="BN10" i="3"/>
  <c r="BN11" i="3"/>
  <c r="BN12" i="3"/>
  <c r="BN13" i="3"/>
  <c r="BN14" i="3"/>
  <c r="BN15" i="3"/>
  <c r="BN16" i="3"/>
  <c r="BN17" i="3"/>
  <c r="BN18" i="3"/>
  <c r="BN19" i="3"/>
  <c r="BN20" i="3"/>
  <c r="BN21" i="3"/>
  <c r="BN22" i="3"/>
  <c r="BN23" i="3"/>
  <c r="BN24" i="3"/>
  <c r="BN25" i="3"/>
  <c r="BN26" i="3"/>
  <c r="BN27" i="3"/>
  <c r="BN28" i="3"/>
  <c r="BN29" i="3"/>
  <c r="BN30" i="3"/>
  <c r="BN31" i="3"/>
  <c r="BN32" i="3"/>
  <c r="BN33" i="3"/>
  <c r="BN34" i="3"/>
  <c r="BN35" i="3"/>
  <c r="BN36" i="3"/>
  <c r="BN37" i="3"/>
  <c r="BN38" i="3"/>
  <c r="BN39" i="3"/>
  <c r="BN40" i="3"/>
  <c r="BN41" i="3"/>
  <c r="BN42" i="3"/>
  <c r="BN43" i="3"/>
  <c r="BN44" i="3"/>
  <c r="BN45" i="3"/>
  <c r="BN46" i="3"/>
  <c r="BM4" i="3"/>
  <c r="BM5" i="3"/>
  <c r="BM6" i="3"/>
  <c r="BM7" i="3"/>
  <c r="BM8" i="3"/>
  <c r="BM9" i="3"/>
  <c r="BM10" i="3"/>
  <c r="BM11" i="3"/>
  <c r="BM12" i="3"/>
  <c r="BM13" i="3"/>
  <c r="BM14" i="3"/>
  <c r="BM15" i="3"/>
  <c r="BM16" i="3"/>
  <c r="BM17" i="3"/>
  <c r="BM18" i="3"/>
  <c r="BM19" i="3"/>
  <c r="BM20" i="3"/>
  <c r="BM21" i="3"/>
  <c r="BM22" i="3"/>
  <c r="BM23" i="3"/>
  <c r="BM24" i="3"/>
  <c r="BM25" i="3"/>
  <c r="BM26" i="3"/>
  <c r="BM27" i="3"/>
  <c r="BM28" i="3"/>
  <c r="BM29" i="3"/>
  <c r="BM30" i="3"/>
  <c r="BM31" i="3"/>
  <c r="BM32" i="3"/>
  <c r="BM33" i="3"/>
  <c r="BM34" i="3"/>
  <c r="BM35" i="3"/>
  <c r="BM36" i="3"/>
  <c r="BM37" i="3"/>
  <c r="BM38" i="3"/>
  <c r="BM39" i="3"/>
  <c r="BM40" i="3"/>
  <c r="BM41" i="3"/>
  <c r="BM42" i="3"/>
  <c r="BM43" i="3"/>
  <c r="BM44" i="3"/>
  <c r="BM45" i="3"/>
  <c r="BM46" i="3"/>
  <c r="BM3" i="3"/>
  <c r="BN3" i="3"/>
  <c r="BO3" i="3"/>
  <c r="BL4" i="3"/>
  <c r="BL5" i="3"/>
  <c r="BL6" i="3"/>
  <c r="BL7" i="3"/>
  <c r="BL8" i="3"/>
  <c r="BL9" i="3"/>
  <c r="BL10" i="3"/>
  <c r="BL11" i="3"/>
  <c r="BL12" i="3"/>
  <c r="BL13" i="3"/>
  <c r="BL14" i="3"/>
  <c r="BL15" i="3"/>
  <c r="BL16" i="3"/>
  <c r="BL17" i="3"/>
  <c r="BL18" i="3"/>
  <c r="BL19" i="3"/>
  <c r="BL20" i="3"/>
  <c r="BL21" i="3"/>
  <c r="BL22" i="3"/>
  <c r="BL23" i="3"/>
  <c r="BL24" i="3"/>
  <c r="BL25" i="3"/>
  <c r="BL26" i="3"/>
  <c r="BL27" i="3"/>
  <c r="BL28" i="3"/>
  <c r="BL29" i="3"/>
  <c r="BL30" i="3"/>
  <c r="BL31" i="3"/>
  <c r="BL32" i="3"/>
  <c r="BL33" i="3"/>
  <c r="BL34" i="3"/>
  <c r="BL35" i="3"/>
  <c r="BL36" i="3"/>
  <c r="BL37" i="3"/>
  <c r="BL38" i="3"/>
  <c r="BL39" i="3"/>
  <c r="BL40" i="3"/>
  <c r="BL41" i="3"/>
  <c r="BL42" i="3"/>
  <c r="BL43" i="3"/>
  <c r="BL44" i="3"/>
  <c r="BL45" i="3"/>
  <c r="BL46" i="3"/>
  <c r="BL3" i="3"/>
  <c r="D16" i="4" l="1"/>
  <c r="F16" i="4"/>
  <c r="N16" i="4" s="1"/>
  <c r="G16" i="4"/>
  <c r="O16" i="4" s="1"/>
  <c r="P16" i="4" s="1"/>
  <c r="B4" i="4"/>
  <c r="E4" i="4" s="1"/>
  <c r="D15" i="4"/>
  <c r="F15" i="4"/>
  <c r="N15" i="4" s="1"/>
  <c r="G15" i="4"/>
  <c r="O15" i="4" s="1"/>
  <c r="P15" i="4" s="1"/>
  <c r="D11" i="4"/>
  <c r="F11" i="4"/>
  <c r="N11" i="4" s="1"/>
  <c r="G11" i="4"/>
  <c r="O11" i="4" s="1"/>
  <c r="P11" i="4" s="1"/>
  <c r="D13" i="4"/>
  <c r="F13" i="4"/>
  <c r="N13" i="4" s="1"/>
  <c r="G13" i="4"/>
  <c r="O13" i="4" s="1"/>
  <c r="P13" i="4" s="1"/>
  <c r="D19" i="4"/>
  <c r="F19" i="4"/>
  <c r="N19" i="4" s="1"/>
  <c r="G19" i="4"/>
  <c r="O19" i="4" s="1"/>
  <c r="P19" i="4" s="1"/>
  <c r="D18" i="4"/>
  <c r="F18" i="4"/>
  <c r="N18" i="4" s="1"/>
  <c r="G18" i="4"/>
  <c r="O18" i="4" s="1"/>
  <c r="P18" i="4" s="1"/>
  <c r="D23" i="4"/>
  <c r="F23" i="4"/>
  <c r="N23" i="4" s="1"/>
  <c r="G23" i="4"/>
  <c r="O23" i="4" s="1"/>
  <c r="P23" i="4" s="1"/>
  <c r="D21" i="4"/>
  <c r="F21" i="4"/>
  <c r="N21" i="4" s="1"/>
  <c r="G21" i="4"/>
  <c r="O21" i="4" s="1"/>
  <c r="P21" i="4" s="1"/>
  <c r="D24" i="4"/>
  <c r="F24" i="4"/>
  <c r="N24" i="4" s="1"/>
  <c r="G24" i="4"/>
  <c r="O24" i="4" s="1"/>
  <c r="P24" i="4" s="1"/>
  <c r="D17" i="4"/>
  <c r="F17" i="4"/>
  <c r="N17" i="4" s="1"/>
  <c r="G17" i="4"/>
  <c r="O17" i="4" s="1"/>
  <c r="P17" i="4" s="1"/>
  <c r="D20" i="4"/>
  <c r="F20" i="4"/>
  <c r="N20" i="4" s="1"/>
  <c r="G20" i="4"/>
  <c r="O20" i="4" s="1"/>
  <c r="P20" i="4" s="1"/>
  <c r="D22" i="4"/>
  <c r="F22" i="4"/>
  <c r="N22" i="4" s="1"/>
  <c r="G22" i="4"/>
  <c r="O22" i="4" s="1"/>
  <c r="P22" i="4" s="1"/>
  <c r="D12" i="4"/>
  <c r="F12" i="4"/>
  <c r="N12" i="4" s="1"/>
  <c r="G12" i="4"/>
  <c r="O12" i="4" s="1"/>
  <c r="P12" i="4" s="1"/>
  <c r="D14" i="4"/>
  <c r="F14" i="4"/>
  <c r="N14" i="4" s="1"/>
  <c r="G14" i="4"/>
  <c r="O14" i="4" s="1"/>
  <c r="P14" i="4" s="1"/>
  <c r="V3" i="3"/>
  <c r="W3" i="3"/>
  <c r="AD3" i="3"/>
  <c r="AE3" i="3"/>
  <c r="AM3" i="3"/>
  <c r="AN3" i="3"/>
  <c r="AO3" i="3"/>
  <c r="AW3" i="3"/>
  <c r="AX3" i="3"/>
  <c r="AY3" i="3"/>
  <c r="V4" i="3"/>
  <c r="W4" i="3"/>
  <c r="AD4" i="3"/>
  <c r="AE4" i="3"/>
  <c r="AM4" i="3"/>
  <c r="AN4" i="3"/>
  <c r="AO4" i="3"/>
  <c r="AW4" i="3"/>
  <c r="AX4" i="3"/>
  <c r="AY4" i="3"/>
  <c r="V5" i="3"/>
  <c r="W5" i="3"/>
  <c r="AD5" i="3"/>
  <c r="AE5" i="3"/>
  <c r="AM5" i="3"/>
  <c r="AN5" i="3"/>
  <c r="AO5" i="3"/>
  <c r="AW5" i="3"/>
  <c r="AX5" i="3"/>
  <c r="AY5" i="3"/>
  <c r="V6" i="3"/>
  <c r="W6" i="3"/>
  <c r="AD6" i="3"/>
  <c r="AE6" i="3"/>
  <c r="AM6" i="3"/>
  <c r="AN6" i="3"/>
  <c r="AO6" i="3"/>
  <c r="AW6" i="3"/>
  <c r="AX6" i="3"/>
  <c r="AY6" i="3"/>
  <c r="V7" i="3"/>
  <c r="W7" i="3"/>
  <c r="AD7" i="3"/>
  <c r="AE7" i="3"/>
  <c r="AM7" i="3"/>
  <c r="AN7" i="3"/>
  <c r="AO7" i="3"/>
  <c r="AW7" i="3"/>
  <c r="AX7" i="3"/>
  <c r="AY7" i="3"/>
  <c r="V8" i="3"/>
  <c r="W8" i="3"/>
  <c r="AD8" i="3"/>
  <c r="AE8" i="3"/>
  <c r="AM8" i="3"/>
  <c r="AN8" i="3"/>
  <c r="AO8" i="3"/>
  <c r="AW8" i="3"/>
  <c r="AX8" i="3"/>
  <c r="AY8" i="3"/>
  <c r="V9" i="3"/>
  <c r="W9" i="3"/>
  <c r="AD9" i="3"/>
  <c r="AE9" i="3"/>
  <c r="AM9" i="3"/>
  <c r="AN9" i="3"/>
  <c r="AO9" i="3"/>
  <c r="AW9" i="3"/>
  <c r="AX9" i="3"/>
  <c r="AY9" i="3"/>
  <c r="V10" i="3"/>
  <c r="W10" i="3"/>
  <c r="AD10" i="3"/>
  <c r="AE10" i="3"/>
  <c r="AM10" i="3"/>
  <c r="AN10" i="3"/>
  <c r="AO10" i="3"/>
  <c r="AW10" i="3"/>
  <c r="AX10" i="3"/>
  <c r="AY10" i="3"/>
  <c r="V11" i="3"/>
  <c r="W11" i="3"/>
  <c r="AD11" i="3"/>
  <c r="AE11" i="3"/>
  <c r="AM11" i="3"/>
  <c r="AN11" i="3"/>
  <c r="AO11" i="3"/>
  <c r="AW11" i="3"/>
  <c r="AX11" i="3"/>
  <c r="AY11" i="3"/>
  <c r="V12" i="3"/>
  <c r="W12" i="3"/>
  <c r="AD12" i="3"/>
  <c r="AE12" i="3"/>
  <c r="AM12" i="3"/>
  <c r="AN12" i="3"/>
  <c r="AO12" i="3"/>
  <c r="AW12" i="3"/>
  <c r="AX12" i="3"/>
  <c r="AY12" i="3"/>
  <c r="V13" i="3"/>
  <c r="W13" i="3"/>
  <c r="AM13" i="3"/>
  <c r="AN13" i="3"/>
  <c r="AO13" i="3"/>
  <c r="AW13" i="3"/>
  <c r="AX13" i="3"/>
  <c r="AY13" i="3"/>
  <c r="V14" i="3"/>
  <c r="W14" i="3"/>
  <c r="AM14" i="3"/>
  <c r="AN14" i="3"/>
  <c r="AO14" i="3"/>
  <c r="AW14" i="3"/>
  <c r="AX14" i="3"/>
  <c r="AY14" i="3"/>
  <c r="V15" i="3"/>
  <c r="W15" i="3"/>
  <c r="AM15" i="3"/>
  <c r="AN15" i="3"/>
  <c r="AO15" i="3"/>
  <c r="AW15" i="3"/>
  <c r="AX15" i="3"/>
  <c r="AY15" i="3"/>
  <c r="V16" i="3"/>
  <c r="W16" i="3"/>
  <c r="AM16" i="3"/>
  <c r="AN16" i="3"/>
  <c r="AO16" i="3"/>
  <c r="AW16" i="3"/>
  <c r="AX16" i="3"/>
  <c r="AY16" i="3"/>
  <c r="V17" i="3"/>
  <c r="W17" i="3"/>
  <c r="AM17" i="3"/>
  <c r="AN17" i="3"/>
  <c r="AO17" i="3"/>
  <c r="AW17" i="3"/>
  <c r="AX17" i="3"/>
  <c r="AY17" i="3"/>
  <c r="V18" i="3"/>
  <c r="W18" i="3"/>
  <c r="AM18" i="3"/>
  <c r="AN18" i="3"/>
  <c r="AO18" i="3"/>
  <c r="AW18" i="3"/>
  <c r="AX18" i="3"/>
  <c r="AY18" i="3"/>
  <c r="V19" i="3"/>
  <c r="W19" i="3"/>
  <c r="AM19" i="3"/>
  <c r="AN19" i="3"/>
  <c r="AO19" i="3"/>
  <c r="AW19" i="3"/>
  <c r="AX19" i="3"/>
  <c r="AY19" i="3"/>
  <c r="V20" i="3"/>
  <c r="W20" i="3"/>
  <c r="AM20" i="3"/>
  <c r="AN20" i="3"/>
  <c r="AO20" i="3"/>
  <c r="AW20" i="3"/>
  <c r="AX20" i="3"/>
  <c r="AY20" i="3"/>
  <c r="V21" i="3"/>
  <c r="W21" i="3"/>
  <c r="AM21" i="3"/>
  <c r="AN21" i="3"/>
  <c r="AO21" i="3"/>
  <c r="AW21" i="3"/>
  <c r="AX21" i="3"/>
  <c r="AY21" i="3"/>
  <c r="V22" i="3"/>
  <c r="W22" i="3"/>
  <c r="AM22" i="3"/>
  <c r="AN22" i="3"/>
  <c r="AO22" i="3"/>
  <c r="AW22" i="3"/>
  <c r="AX22" i="3"/>
  <c r="AY22" i="3"/>
  <c r="V23" i="3"/>
  <c r="W23" i="3"/>
  <c r="AM23" i="3"/>
  <c r="AN23" i="3"/>
  <c r="AO23" i="3"/>
  <c r="V24" i="3"/>
  <c r="W24" i="3"/>
  <c r="AM24" i="3"/>
  <c r="AN24" i="3"/>
  <c r="AO24" i="3"/>
  <c r="V25" i="3"/>
  <c r="W25" i="3"/>
  <c r="AM25" i="3"/>
  <c r="AN25" i="3"/>
  <c r="AO25" i="3"/>
  <c r="V26" i="3"/>
  <c r="W26" i="3"/>
  <c r="AM26" i="3"/>
  <c r="AN26" i="3"/>
  <c r="AO26" i="3"/>
  <c r="V27" i="3"/>
  <c r="W27" i="3"/>
  <c r="AM27" i="3"/>
  <c r="AN27" i="3"/>
  <c r="AO27" i="3"/>
  <c r="V28" i="3"/>
  <c r="W28" i="3"/>
  <c r="AM28" i="3"/>
  <c r="AN28" i="3"/>
  <c r="AO28" i="3"/>
  <c r="V29" i="3"/>
  <c r="W29" i="3"/>
  <c r="AM29" i="3"/>
  <c r="AN29" i="3"/>
  <c r="AO29" i="3"/>
  <c r="V30" i="3"/>
  <c r="W30" i="3"/>
  <c r="AM30" i="3"/>
  <c r="AN30" i="3"/>
  <c r="AO30" i="3"/>
  <c r="V31" i="3"/>
  <c r="W31" i="3"/>
  <c r="AM31" i="3"/>
  <c r="AN31" i="3"/>
  <c r="AO31" i="3"/>
  <c r="V32" i="3"/>
  <c r="W32" i="3"/>
  <c r="AM32" i="3"/>
  <c r="AN32" i="3"/>
  <c r="AO32" i="3"/>
  <c r="V33" i="3"/>
  <c r="W33" i="3"/>
  <c r="AM33" i="3"/>
  <c r="AN33" i="3"/>
  <c r="AO33" i="3"/>
  <c r="V34" i="3"/>
  <c r="W34" i="3"/>
  <c r="AM34" i="3"/>
  <c r="AN34" i="3"/>
  <c r="AO34" i="3"/>
  <c r="AM35" i="3"/>
  <c r="AN35" i="3"/>
  <c r="AO35" i="3"/>
  <c r="AM36" i="3"/>
  <c r="AN36" i="3"/>
  <c r="AO36" i="3"/>
  <c r="AM37" i="3"/>
  <c r="AN37" i="3"/>
  <c r="AO37" i="3"/>
  <c r="AM38" i="3"/>
  <c r="AN38" i="3"/>
  <c r="AO38" i="3"/>
  <c r="AM39" i="3"/>
  <c r="AN39" i="3"/>
  <c r="AO39" i="3"/>
  <c r="AM40" i="3"/>
  <c r="AN40" i="3"/>
  <c r="AO40" i="3"/>
  <c r="AM41" i="3"/>
  <c r="AN41" i="3"/>
  <c r="AO41" i="3"/>
  <c r="AM42" i="3"/>
  <c r="AN42" i="3"/>
  <c r="AO42" i="3"/>
  <c r="AM43" i="3"/>
  <c r="AN43" i="3"/>
  <c r="AO43" i="3"/>
  <c r="AM44" i="3"/>
  <c r="AN44" i="3"/>
  <c r="AO44" i="3"/>
  <c r="AM45" i="3"/>
  <c r="AN45" i="3"/>
  <c r="AO45" i="3"/>
  <c r="AM46" i="3"/>
  <c r="AN46" i="3"/>
  <c r="AO46" i="3"/>
  <c r="AM47" i="3"/>
  <c r="AN47" i="3"/>
  <c r="AO47" i="3"/>
  <c r="AM48" i="3"/>
  <c r="AN48" i="3"/>
  <c r="AO48" i="3"/>
  <c r="AM49" i="3"/>
  <c r="AN49" i="3"/>
  <c r="AO49" i="3"/>
  <c r="AM50" i="3"/>
  <c r="AN50" i="3"/>
  <c r="AO50" i="3"/>
  <c r="AM51" i="3"/>
  <c r="AN51" i="3"/>
  <c r="AO51" i="3"/>
  <c r="AM52" i="3"/>
  <c r="AN52" i="3"/>
  <c r="AO52" i="3"/>
  <c r="AM53" i="3"/>
  <c r="AN53" i="3"/>
  <c r="AO53" i="3"/>
  <c r="AM54" i="3"/>
  <c r="AN54" i="3"/>
  <c r="AO54" i="3"/>
  <c r="AM55" i="3"/>
  <c r="AN55" i="3"/>
  <c r="AO55" i="3"/>
  <c r="AM56" i="3"/>
  <c r="AN56" i="3"/>
  <c r="AO56" i="3"/>
  <c r="AM57" i="3"/>
  <c r="AN57" i="3"/>
  <c r="AO57" i="3"/>
  <c r="AM58" i="3"/>
  <c r="AN58" i="3"/>
  <c r="AO58" i="3"/>
  <c r="AM59" i="3"/>
  <c r="AN59" i="3"/>
  <c r="AO59" i="3"/>
  <c r="AM60" i="3"/>
  <c r="AN60" i="3"/>
  <c r="AO60" i="3"/>
  <c r="AM61" i="3"/>
  <c r="AN61" i="3"/>
  <c r="AO61" i="3"/>
  <c r="V3" i="2"/>
  <c r="W3" i="2"/>
  <c r="AD3" i="2"/>
  <c r="X18" i="4" s="1"/>
  <c r="AE3" i="2"/>
  <c r="Y18" i="4" s="1"/>
  <c r="AM3" i="2"/>
  <c r="AN3" i="2"/>
  <c r="AO3" i="2"/>
  <c r="AW3" i="2"/>
  <c r="AX3" i="2"/>
  <c r="AY3" i="2"/>
  <c r="V4" i="2"/>
  <c r="W4" i="2"/>
  <c r="AD4" i="2"/>
  <c r="X19" i="4" s="1"/>
  <c r="AE4" i="2"/>
  <c r="Y19" i="4" s="1"/>
  <c r="AM4" i="2"/>
  <c r="AN4" i="2"/>
  <c r="AO4" i="2"/>
  <c r="AW4" i="2"/>
  <c r="AX4" i="2"/>
  <c r="AY4" i="2"/>
  <c r="V5" i="2"/>
  <c r="W5" i="2"/>
  <c r="AD5" i="2"/>
  <c r="X20" i="4" s="1"/>
  <c r="AE5" i="2"/>
  <c r="Y20" i="4" s="1"/>
  <c r="AM5" i="2"/>
  <c r="AN5" i="2"/>
  <c r="AO5" i="2"/>
  <c r="AW5" i="2"/>
  <c r="AX5" i="2"/>
  <c r="AY5" i="2"/>
  <c r="V6" i="2"/>
  <c r="W6" i="2"/>
  <c r="AD6" i="2"/>
  <c r="X21" i="4" s="1"/>
  <c r="AE6" i="2"/>
  <c r="Y21" i="4" s="1"/>
  <c r="AM6" i="2"/>
  <c r="AN6" i="2"/>
  <c r="AO6" i="2"/>
  <c r="AW6" i="2"/>
  <c r="AX6" i="2"/>
  <c r="AY6" i="2"/>
  <c r="V7" i="2"/>
  <c r="W7" i="2"/>
  <c r="AD7" i="2"/>
  <c r="X22" i="4" s="1"/>
  <c r="AE7" i="2"/>
  <c r="Y22" i="4" s="1"/>
  <c r="AM7" i="2"/>
  <c r="AN7" i="2"/>
  <c r="AO7" i="2"/>
  <c r="AW7" i="2"/>
  <c r="AX7" i="2"/>
  <c r="AY7" i="2"/>
  <c r="V8" i="2"/>
  <c r="W8" i="2"/>
  <c r="AM8" i="2"/>
  <c r="AN8" i="2"/>
  <c r="AO8" i="2"/>
  <c r="AW8" i="2"/>
  <c r="AX8" i="2"/>
  <c r="AY8" i="2"/>
  <c r="V9" i="2"/>
  <c r="W9" i="2"/>
  <c r="AM9" i="2"/>
  <c r="AN9" i="2"/>
  <c r="AO9" i="2"/>
  <c r="AW9" i="2"/>
  <c r="AX9" i="2"/>
  <c r="AY9" i="2"/>
  <c r="V10" i="2"/>
  <c r="W10" i="2"/>
  <c r="AM10" i="2"/>
  <c r="AN10" i="2"/>
  <c r="AO10" i="2"/>
  <c r="AW10" i="2"/>
  <c r="AX10" i="2"/>
  <c r="AY10" i="2"/>
  <c r="V11" i="2"/>
  <c r="W11" i="2"/>
  <c r="AM11" i="2"/>
  <c r="AN11" i="2"/>
  <c r="AO11" i="2"/>
  <c r="V12" i="2"/>
  <c r="W12" i="2"/>
  <c r="AM12" i="2"/>
  <c r="AN12" i="2"/>
  <c r="AO12" i="2"/>
  <c r="V13" i="2"/>
  <c r="W13" i="2"/>
  <c r="AM13" i="2"/>
  <c r="AN13" i="2"/>
  <c r="AO13" i="2"/>
  <c r="V14" i="2"/>
  <c r="W14" i="2"/>
  <c r="AM14" i="2"/>
  <c r="AN14" i="2"/>
  <c r="AO14" i="2"/>
  <c r="V15" i="2"/>
  <c r="W15" i="2"/>
  <c r="AM15" i="2"/>
  <c r="AN15" i="2"/>
  <c r="AO15" i="2"/>
  <c r="V16" i="2"/>
  <c r="W16" i="2"/>
  <c r="AM16" i="2"/>
  <c r="AN16" i="2"/>
  <c r="AO16" i="2"/>
  <c r="V17" i="2"/>
  <c r="W17" i="2"/>
  <c r="AM17" i="2"/>
  <c r="AN17" i="2"/>
  <c r="AO17" i="2"/>
  <c r="V18" i="2"/>
  <c r="W18" i="2"/>
  <c r="AM18" i="2"/>
  <c r="AN18" i="2"/>
  <c r="AO18" i="2"/>
  <c r="AM19" i="2"/>
  <c r="AN19" i="2"/>
  <c r="AO19" i="2"/>
  <c r="AM20" i="2"/>
  <c r="AN20" i="2"/>
  <c r="AO20" i="2"/>
  <c r="AM21" i="2"/>
  <c r="AN21" i="2"/>
  <c r="AO21" i="2"/>
  <c r="AM22" i="2"/>
  <c r="AN22" i="2"/>
  <c r="AO22" i="2"/>
  <c r="AM23" i="2"/>
  <c r="AN23" i="2"/>
  <c r="AO23" i="2"/>
  <c r="AM24" i="2"/>
  <c r="AN24" i="2"/>
  <c r="AO24" i="2"/>
  <c r="AM25" i="2"/>
  <c r="AN25" i="2"/>
  <c r="AO25" i="2"/>
  <c r="AM26" i="2"/>
  <c r="AN26" i="2"/>
  <c r="AO26" i="2"/>
  <c r="AM27" i="2"/>
  <c r="AN27" i="2"/>
  <c r="AO27" i="2"/>
  <c r="AM28" i="2"/>
  <c r="AN28" i="2"/>
  <c r="AO28" i="2"/>
  <c r="AM29" i="2"/>
  <c r="AN29" i="2"/>
  <c r="AO29" i="2"/>
  <c r="AM30" i="2"/>
  <c r="AN30" i="2"/>
  <c r="AO30" i="2"/>
  <c r="AM31" i="2"/>
  <c r="AN31" i="2"/>
  <c r="AO31" i="2"/>
  <c r="L4" i="4" l="1"/>
  <c r="M4" i="4"/>
  <c r="Z22" i="4"/>
  <c r="Z18" i="4"/>
  <c r="AE16" i="4" s="1" a="1"/>
  <c r="AE16" i="4" s="1"/>
  <c r="Z21" i="4"/>
  <c r="Z20" i="4"/>
  <c r="Z19" i="4"/>
  <c r="B5" i="4"/>
  <c r="E5" i="4" s="1"/>
  <c r="L5" i="4" l="1"/>
  <c r="M5" i="4"/>
  <c r="AE21" i="4" a="1"/>
  <c r="AE21" i="4" s="1"/>
  <c r="AD16" i="4" a="1"/>
  <c r="AD16" i="4" s="1"/>
  <c r="AD20" i="4" a="1"/>
  <c r="AD20" i="4" s="1"/>
  <c r="AD15" i="4" a="1"/>
  <c r="AD15" i="4" s="1"/>
  <c r="AE17" i="4" a="1"/>
  <c r="AE17" i="4" s="1"/>
  <c r="AE20" i="4" a="1"/>
  <c r="AE20" i="4" s="1"/>
  <c r="AE15" i="4" a="1"/>
  <c r="AE15" i="4" s="1"/>
  <c r="AD21" i="4" a="1"/>
  <c r="AD21" i="4" s="1"/>
  <c r="AD17" i="4" a="1"/>
  <c r="AD17" i="4" s="1"/>
  <c r="B6" i="4"/>
  <c r="E6" i="4" s="1"/>
  <c r="L6" i="4" l="1"/>
  <c r="M6" i="4"/>
  <c r="B7" i="4"/>
  <c r="E7" i="4" s="1"/>
  <c r="L7" i="4" l="1"/>
  <c r="M7" i="4"/>
  <c r="B8" i="4"/>
  <c r="E8" i="4" s="1"/>
  <c r="L8" i="4" l="1"/>
  <c r="M8" i="4"/>
  <c r="B9" i="4"/>
  <c r="E9" i="4" s="1"/>
  <c r="L9" i="4" l="1"/>
  <c r="M9" i="4"/>
  <c r="B10" i="4"/>
  <c r="E10" i="4" s="1"/>
  <c r="L10" i="4" l="1"/>
  <c r="M10" i="4"/>
  <c r="B11" i="4"/>
  <c r="E11" i="4" s="1"/>
  <c r="L11" i="4" l="1"/>
  <c r="M11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<sst xmlns="http://schemas.openxmlformats.org/spreadsheetml/2006/main" count="1133" uniqueCount="277">
  <si>
    <t>Do Steps 7 - 10 for angles and dihedrals</t>
  </si>
  <si>
    <t>Step9-10: Same as Steps 5 and 6</t>
  </si>
  <si>
    <t>Step8: Assign values based on ID on 1st and 2nd atom using type by crosschecking with Cols B and H. See the command in the column</t>
  </si>
  <si>
    <t>Step7: Copy Bond info from GROMACS itp</t>
  </si>
  <si>
    <t>Step6: CROSS CHECK (IMPORTANT)</t>
  </si>
  <si>
    <t>Step5: Copy cols B-G and remove duplicates</t>
  </si>
  <si>
    <t>Step4: Assign types manually (Column G)</t>
  </si>
  <si>
    <t>Step3: Reorder sigma values</t>
  </si>
  <si>
    <t>type-3</t>
  </si>
  <si>
    <t>type-2</t>
  </si>
  <si>
    <t>type-1</t>
  </si>
  <si>
    <t>k</t>
  </si>
  <si>
    <t>theta_0</t>
  </si>
  <si>
    <t>ID-3</t>
  </si>
  <si>
    <t>ID-2</t>
  </si>
  <si>
    <t>ID-1</t>
  </si>
  <si>
    <t>r0</t>
  </si>
  <si>
    <t>type</t>
  </si>
  <si>
    <t>mass</t>
  </si>
  <si>
    <t>ID</t>
  </si>
  <si>
    <t>Lj sigma</t>
  </si>
  <si>
    <t>LJ epsilon</t>
  </si>
  <si>
    <t>LJ sigma</t>
  </si>
  <si>
    <r>
      <t xml:space="preserve">Step2: Order according to Lj params epsilon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sigma</t>
    </r>
  </si>
  <si>
    <t>Select those which are unique</t>
  </si>
  <si>
    <t>Assign types manually</t>
  </si>
  <si>
    <t>ANGLE TYPES</t>
  </si>
  <si>
    <t>From LigPargen LMP file</t>
  </si>
  <si>
    <t>BOND TYPES</t>
  </si>
  <si>
    <t>Unique types</t>
  </si>
  <si>
    <t>ATOM TYPES</t>
  </si>
  <si>
    <t>Step1: Copy LJ params and masses from Ligpargen LMP file</t>
  </si>
  <si>
    <t>NewID</t>
  </si>
  <si>
    <t>From LigPargen ITP file</t>
  </si>
  <si>
    <t>DIHEDRAL TYPES</t>
  </si>
  <si>
    <t>ID-4</t>
  </si>
  <si>
    <t>c0</t>
  </si>
  <si>
    <t>c1</t>
  </si>
  <si>
    <t>c2</t>
  </si>
  <si>
    <t>c3</t>
  </si>
  <si>
    <t>c4</t>
  </si>
  <si>
    <t>c5</t>
  </si>
  <si>
    <t>funct</t>
  </si>
  <si>
    <t>type-4</t>
  </si>
  <si>
    <t>HV</t>
  </si>
  <si>
    <t>O1V</t>
  </si>
  <si>
    <t>O2V</t>
  </si>
  <si>
    <t>C1V</t>
  </si>
  <si>
    <t>C2V</t>
  </si>
  <si>
    <t>HMT</t>
  </si>
  <si>
    <t>FMT</t>
  </si>
  <si>
    <t>SMT</t>
  </si>
  <si>
    <t>C1MT</t>
  </si>
  <si>
    <t>C2MT</t>
  </si>
  <si>
    <t>NMT</t>
  </si>
  <si>
    <t>O3MT</t>
  </si>
  <si>
    <t>O1MT</t>
  </si>
  <si>
    <t>O2MT</t>
  </si>
  <si>
    <t>O1C</t>
  </si>
  <si>
    <t>C1C</t>
  </si>
  <si>
    <t>O2C</t>
  </si>
  <si>
    <t>Note: Used H2CO3 for LigParGen</t>
  </si>
  <si>
    <t>Note: A 6 monomer PEO is used for LigPargen</t>
  </si>
  <si>
    <t>HP</t>
  </si>
  <si>
    <t>O1P</t>
  </si>
  <si>
    <t>C1P</t>
  </si>
  <si>
    <t>Li</t>
  </si>
  <si>
    <t>Comments</t>
  </si>
  <si>
    <t>#</t>
  </si>
  <si>
    <t>C-EO/SEI</t>
  </si>
  <si>
    <t>H-EO/SEI</t>
  </si>
  <si>
    <t>O-EO/SEI</t>
  </si>
  <si>
    <t>C1-COI/SEI</t>
  </si>
  <si>
    <t>O1-COI/SEI</t>
  </si>
  <si>
    <t>O2-COI/SEI</t>
  </si>
  <si>
    <t>C1-MT/Bulk</t>
  </si>
  <si>
    <t>C1-VEC/Bulk</t>
  </si>
  <si>
    <t>C2-MT/Bulk</t>
  </si>
  <si>
    <t>C2-VEC/Bulk</t>
  </si>
  <si>
    <t>F-MT/Bulk</t>
  </si>
  <si>
    <t>N-MT/Bulk</t>
  </si>
  <si>
    <t>O1-MT/Bulk</t>
  </si>
  <si>
    <t>O1-VEC/Bulk</t>
  </si>
  <si>
    <t>O2-MT/Bulk</t>
  </si>
  <si>
    <t>O3-MT/Bulk</t>
  </si>
  <si>
    <t>S-MT/Bulk</t>
  </si>
  <si>
    <t>Li-LP/SEI (Table1: https://pubs.acs.org/doi/10.1021/acs.jpcb.3c05591, Wu-Wick)</t>
  </si>
  <si>
    <t>LP</t>
  </si>
  <si>
    <t>Type-1</t>
  </si>
  <si>
    <t>Type-2</t>
  </si>
  <si>
    <t>LJ epsilon (lmp)</t>
  </si>
  <si>
    <t>Lj sigma (lmp)</t>
  </si>
  <si>
    <t>Li-LI/Surface (Ebadi Electrochimica Acta, 234, 43-51)</t>
  </si>
  <si>
    <t>Attempt from LMP to LMP</t>
  </si>
  <si>
    <t>Type</t>
  </si>
  <si>
    <t>NewType_ID</t>
  </si>
  <si>
    <t>Assigned manually</t>
  </si>
  <si>
    <t>Notes</t>
  </si>
  <si>
    <t xml:space="preserve">Cross check with combined_system.data </t>
  </si>
  <si>
    <t>Same as B</t>
  </si>
  <si>
    <t>Except Li (3rd row) everything else is by matching the corresponding sheets for columns F and G</t>
  </si>
  <si>
    <t>Add comments</t>
  </si>
  <si>
    <t>Comment #</t>
  </si>
  <si>
    <t>Compile all the UNIQUE BOND DATA from all the Excel Sheets</t>
  </si>
  <si>
    <t>C1P-C1P</t>
  </si>
  <si>
    <t>C1C-O1C</t>
  </si>
  <si>
    <t>C1MT-C1MT</t>
  </si>
  <si>
    <t>C1MT-HMT</t>
  </si>
  <si>
    <t>C1MT-O1MT</t>
  </si>
  <si>
    <t>C1V-C1V</t>
  </si>
  <si>
    <t>C1V-HV</t>
  </si>
  <si>
    <t>C2V-O1V</t>
  </si>
  <si>
    <t>NMT-SMT</t>
  </si>
  <si>
    <t>O3MT-SMT</t>
  </si>
  <si>
    <t>Concatenate</t>
  </si>
  <si>
    <t>Type1-Type2</t>
  </si>
  <si>
    <t>r0 (gmx,nm)</t>
  </si>
  <si>
    <t>k0 (gmx, kcal/mol)</t>
  </si>
  <si>
    <t>HP-C1P</t>
  </si>
  <si>
    <t>O1P-C1P</t>
  </si>
  <si>
    <t>O2C-C1C</t>
  </si>
  <si>
    <t>C1V-C1MT</t>
  </si>
  <si>
    <t>C2MT-C1MT</t>
  </si>
  <si>
    <t>FMT-C1MT</t>
  </si>
  <si>
    <t>SMT-C1MT</t>
  </si>
  <si>
    <t>O1V-C1V</t>
  </si>
  <si>
    <t>O1MT-C2MT</t>
  </si>
  <si>
    <t>O2V-C2V</t>
  </si>
  <si>
    <t>O2MT-C2MT</t>
  </si>
  <si>
    <t>Compile all the UNIQUE ANGLE DATA from all the Excel Sheets</t>
  </si>
  <si>
    <t>Combined</t>
  </si>
  <si>
    <t>#Combined</t>
  </si>
  <si>
    <t>Copy Bond Coeff Data from combined_data.data</t>
  </si>
  <si>
    <t>Copy Angle Coeff Data from combined_data.data</t>
  </si>
  <si>
    <t>C1P-C1P-HP</t>
  </si>
  <si>
    <t>C1P-O1P-C1P</t>
  </si>
  <si>
    <t>HP-C1P-HP</t>
  </si>
  <si>
    <t>O1C-C1C-O2C</t>
  </si>
  <si>
    <t>O2C-C1C-O2C</t>
  </si>
  <si>
    <t>C1MT-C1MT-C1MT</t>
  </si>
  <si>
    <t>C1MT-C1MT-C1V</t>
  </si>
  <si>
    <t>C1MT-C1MT-C2MT</t>
  </si>
  <si>
    <t>C1MT-C1MT-SMT</t>
  </si>
  <si>
    <t>C1MT-C1V-C1V</t>
  </si>
  <si>
    <t>C1MT-C1V-HV</t>
  </si>
  <si>
    <t>C1MT-C2MT-O1MT</t>
  </si>
  <si>
    <t>C1MT-C2MT-O2MT</t>
  </si>
  <si>
    <t>C1MT-SMT-NMT</t>
  </si>
  <si>
    <t>C1MT-SMT-O3MT</t>
  </si>
  <si>
    <t>C1V-C1MT-C2MT</t>
  </si>
  <si>
    <t>C1V-C1MT-HMT</t>
  </si>
  <si>
    <t>C1V-C1V-C1V</t>
  </si>
  <si>
    <t>C1V-C1V-O1V</t>
  </si>
  <si>
    <t>C1V-O1V-C2V</t>
  </si>
  <si>
    <t>FMT-C1MT-FMT</t>
  </si>
  <si>
    <t>HMT-C1MT-HMT</t>
  </si>
  <si>
    <t>HV-C1V-HV</t>
  </si>
  <si>
    <t>NMT-SMT-O3MT</t>
  </si>
  <si>
    <t>O1MT-C2MT-O2MT</t>
  </si>
  <si>
    <t>O1V-C2V-O1V</t>
  </si>
  <si>
    <t>O1V-C2V-O2V</t>
  </si>
  <si>
    <t>O3MT-SMT-O3MT</t>
  </si>
  <si>
    <t>SMT-NMT-SMT</t>
  </si>
  <si>
    <t>O1P-C1P-C1P</t>
  </si>
  <si>
    <t>O1P-C1P-HP</t>
  </si>
  <si>
    <t>HMT-C1MT-C1MT</t>
  </si>
  <si>
    <t>O1MT-C1MT-C1MT</t>
  </si>
  <si>
    <t>C2MT-O1MT-C1MT</t>
  </si>
  <si>
    <t>HV-C1V-C1V</t>
  </si>
  <si>
    <t>SMT-C1MT-FMT</t>
  </si>
  <si>
    <t>O1MT-C1MT-HMT</t>
  </si>
  <si>
    <t>SMT-C1MT-HMT</t>
  </si>
  <si>
    <t>O1V-C1V-HV</t>
  </si>
  <si>
    <t>Same as C1MT-C1MT-C1MT</t>
  </si>
  <si>
    <t>Same as C1MT-C1MT-C2MT</t>
  </si>
  <si>
    <t>Same as HMT-C1MT-C1MT</t>
  </si>
  <si>
    <t>Compile all the UNIQUE DIHEDRAL DATA from all the Excel Sheets</t>
  </si>
  <si>
    <t>C1P-C1P-O1P-C1P</t>
  </si>
  <si>
    <t>HP-C1P-C1P-HP</t>
  </si>
  <si>
    <t>HP-C1P-C1P-O1P</t>
  </si>
  <si>
    <t>HP-C1P-O1P-C1P</t>
  </si>
  <si>
    <t>O1P-C1P-C1P-O1P</t>
  </si>
  <si>
    <t>C1MT-C1MT-C1MT-C1MT</t>
  </si>
  <si>
    <t>C1MT-C1MT-C1MT-C1V</t>
  </si>
  <si>
    <t>C1MT-C1MT-C1MT-HMT</t>
  </si>
  <si>
    <t>C1MT-C1MT-C1MT-O1MT</t>
  </si>
  <si>
    <t>C1MT-C1MT-C1V-C1V</t>
  </si>
  <si>
    <t>C1MT-C1MT-C1V-HV</t>
  </si>
  <si>
    <t>C1MT-C1MT-O1MT-C2MT</t>
  </si>
  <si>
    <t>C1MT-C1V-C1V-C1V</t>
  </si>
  <si>
    <t>C1MT-C1V-C1V-HV</t>
  </si>
  <si>
    <t>C1MT-C1V-C1V-O1V</t>
  </si>
  <si>
    <t>C1V-C1MT-C1MT-C1V</t>
  </si>
  <si>
    <t>C1V-C1MT-C1MT-C2MT</t>
  </si>
  <si>
    <t>C1V-C1MT-C1MT-HMT</t>
  </si>
  <si>
    <t>C1V-C1MT-C2MT-O1MT</t>
  </si>
  <si>
    <t>C1V-C1MT-C2MT-O2MT</t>
  </si>
  <si>
    <t>C1V-C1V-C1V-C1V</t>
  </si>
  <si>
    <t>C1V-C1V-C1V-HV</t>
  </si>
  <si>
    <t>C2MT-C1MT-C1MT-HMT</t>
  </si>
  <si>
    <t>C2MT-C1MT-C1V-C1V</t>
  </si>
  <si>
    <t>C2MT-C1MT-C1V-HV</t>
  </si>
  <si>
    <t>FMT-C1MT-SMT-NMT</t>
  </si>
  <si>
    <t>FMT-C1MT-SMT-O3MT</t>
  </si>
  <si>
    <t>HMT-C1MT-C1MT-HMT</t>
  </si>
  <si>
    <t>HMT-C1MT-C1MT-O1MT</t>
  </si>
  <si>
    <t>HMT-C1MT-C1V-C1V</t>
  </si>
  <si>
    <t>HMT-C1MT-C1V-HV</t>
  </si>
  <si>
    <t>HMT-C1MT-O1MT-C2MT</t>
  </si>
  <si>
    <t>HV-C1V-C1V-HV</t>
  </si>
  <si>
    <t>HV-C1V-C1V-O1V</t>
  </si>
  <si>
    <t>O1V-C1V-C1V-O1V</t>
  </si>
  <si>
    <t>O2V-C2V-O1V-C1V</t>
  </si>
  <si>
    <t>SMT-NMT-SMT-C1MT</t>
  </si>
  <si>
    <t>k_lmp = 0.119502868*k_gmx</t>
  </si>
  <si>
    <t>theta0 (lmp) = theta0(gmx)</t>
  </si>
  <si>
    <t>r0 (lmp) = 10*r0(gmx)</t>
  </si>
  <si>
    <t>k_lmp = 0.00119502868*k_gmx</t>
  </si>
  <si>
    <t>sum_c (gmx)</t>
  </si>
  <si>
    <t>k3 (lmp) = -0.5*c3 (gmx)</t>
  </si>
  <si>
    <t>k4 (lmp) = -0.25*C4 (gmx)</t>
  </si>
  <si>
    <t>k1 (lmp) = 0.239*(-2c1 (gmx) -1.5*C3 (gmx))</t>
  </si>
  <si>
    <t>k2 (lmp) = 0.239*(c0 (gmx) + c1 (gmx) + c3 (gmx))</t>
  </si>
  <si>
    <t>C2MT-C1MT-C1MT-C1MT</t>
  </si>
  <si>
    <t>SMT-C1MT-C1MT-C1MT</t>
  </si>
  <si>
    <t>O1MT-C2MT-C1MT-C1MT</t>
  </si>
  <si>
    <t>O2MT-C2MT-C1MT-C1MT</t>
  </si>
  <si>
    <t>NMT-SMT-C1MT-C1MT</t>
  </si>
  <si>
    <t>O3MT-SMT-C1MT-C1MT</t>
  </si>
  <si>
    <t>C1MT-O1MT-C2MT-C1MT</t>
  </si>
  <si>
    <t>O1V-C1V-C1V-C1V</t>
  </si>
  <si>
    <t>C2V-O1V-C1V-C1V</t>
  </si>
  <si>
    <t>SMT-C1MT-C1MT-HMT</t>
  </si>
  <si>
    <t>NMT-SMT-C1MT-HMT</t>
  </si>
  <si>
    <t>O3MT-SMT-C1MT-HMT</t>
  </si>
  <si>
    <t>C2V-O1V-C1V-HV</t>
  </si>
  <si>
    <t>O3MT-SMT-NMT-SMT</t>
  </si>
  <si>
    <t>C1V-O1V-C2V-O1V</t>
  </si>
  <si>
    <t>C1MT-O1MT-C2MT-O2MT</t>
  </si>
  <si>
    <t>Extras</t>
  </si>
  <si>
    <t>C-C-C-C (all-sp3)</t>
  </si>
  <si>
    <t>From CCCC in butane</t>
  </si>
  <si>
    <t>From CCCC in butyric acid</t>
  </si>
  <si>
    <t>C(sp2)-C(sp3)-C(sp3)-C(sp3)</t>
  </si>
  <si>
    <t>k1_(lmp)</t>
  </si>
  <si>
    <t>k2_(lmp)</t>
  </si>
  <si>
    <t>k3_(lmp)</t>
  </si>
  <si>
    <t>k4_(lmp)</t>
  </si>
  <si>
    <t>k_(lmp)</t>
  </si>
  <si>
    <t>theta0_(lmp)</t>
  </si>
  <si>
    <t>r0_(lmp)</t>
  </si>
  <si>
    <t>Comment</t>
  </si>
  <si>
    <t>New_BondType_ID</t>
  </si>
  <si>
    <t># Bond Coeffs</t>
  </si>
  <si>
    <t>bond_coeff</t>
  </si>
  <si>
    <t>New_AngleType_ID</t>
  </si>
  <si>
    <t># Angle Coeffs</t>
  </si>
  <si>
    <t>angle_coeff</t>
  </si>
  <si>
    <t>Copy Dihed Coeff Data from combined_data.data</t>
  </si>
  <si>
    <t>New_DihedType_ID</t>
  </si>
  <si>
    <t># Dihedral Coeffs</t>
  </si>
  <si>
    <t>dihedral_coeff</t>
  </si>
  <si>
    <t>pair_coeff</t>
  </si>
  <si>
    <t>Compile all the UNIQUE PAIR DATA from all the Excel Sheets</t>
  </si>
  <si>
    <t>epsilon (kj/mol)</t>
  </si>
  <si>
    <t>NewType_ID-1</t>
  </si>
  <si>
    <t>NewType_ID-2</t>
  </si>
  <si>
    <t>#Comments</t>
  </si>
  <si>
    <t>Li-LP/Bulk (Table1: https://pubs.acs.org/doi/10.1021/acs.jpcb.3c05591, Wu-Wick)</t>
  </si>
  <si>
    <t>Added SHAKE</t>
  </si>
  <si>
    <r>
      <rPr>
        <b/>
        <sz val="11"/>
        <color theme="1"/>
        <rFont val="Calibri"/>
        <family val="2"/>
        <scheme val="minor"/>
      </rPr>
      <t>NOTE:</t>
    </r>
    <r>
      <rPr>
        <sz val="11"/>
        <color theme="1"/>
        <rFont val="Calibri"/>
        <family val="2"/>
        <scheme val="minor"/>
      </rPr>
      <t xml:space="preserve"> In most cases, types 23 and 5 are identical and hence type 23 is omitted. Check each time</t>
    </r>
  </si>
  <si>
    <t>cut-off rc (Angstrom)</t>
  </si>
  <si>
    <t># Pair_Coeffs</t>
  </si>
  <si>
    <t>sigma (Angstrom)</t>
  </si>
  <si>
    <t>H-MT/Bulk</t>
  </si>
  <si>
    <t>H-VEC/Bulk</t>
  </si>
  <si>
    <t>O2-VEC/Bulk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</si>
</sst>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1" fillId="2" borderId="0" xfId="0" applyFont="1" applyFill="1"/>
    <xf numFmtId="0" fontId="2" fillId="0" borderId="0" xfId="1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center"/>
    </xf>
    <xf numFmtId="164" fontId="0" fillId="0" borderId="0" xfId="0" applyNumberFormat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1" borderId="0" xfId="0" applyFill="1" applyAlignment="1">
      <alignment horizontal="center"/>
    </xf>
    <xf numFmtId="164" fontId="0" fillId="11" borderId="0" xfId="0" applyNumberFormat="1" applyFill="1"/>
    <xf numFmtId="0" fontId="0" fillId="11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7DDB8-AFD2-493F-9B1C-8434E9F57305}">
  <dimension ref="A1:BX63"/>
  <sheetViews>
    <sheetView workbookViewId="0">
      <selection activeCell="I23" sqref="I23"/>
    </sheetView>
  </sheetViews>
  <sheetFormatPr defaultRowHeight="15" x14ac:dyDescent="0.25"/>
  <cols>
    <col min="3" max="3" width="19.140625" customWidth="1"/>
    <col min="4" max="4" width="18" customWidth="1"/>
    <col min="5" max="5" width="13.42578125" customWidth="1"/>
    <col min="6" max="6" width="33.140625" customWidth="1"/>
    <col min="7" max="7" width="16.85546875" customWidth="1"/>
    <col min="8" max="8" width="11.85546875" customWidth="1"/>
    <col min="9" max="9" width="73.85546875" customWidth="1"/>
    <col min="10" max="10" width="9.140625" customWidth="1"/>
    <col min="11" max="15" width="18.85546875" customWidth="1"/>
    <col min="16" max="16" width="21.42578125" customWidth="1"/>
    <col min="17" max="17" width="47.85546875" customWidth="1"/>
    <col min="18" max="20" width="18.85546875" customWidth="1"/>
    <col min="21" max="21" width="10.42578125" customWidth="1"/>
    <col min="22" max="22" width="15.140625" customWidth="1"/>
    <col min="23" max="23" width="17.85546875" customWidth="1"/>
    <col min="26" max="26" width="16.42578125" customWidth="1"/>
    <col min="27" max="27" width="12.5703125" customWidth="1"/>
    <col min="28" max="28" width="20.28515625" customWidth="1"/>
    <col min="29" max="29" width="19.28515625" customWidth="1"/>
    <col min="30" max="30" width="11" customWidth="1"/>
    <col min="33" max="33" width="13.28515625" customWidth="1"/>
    <col min="34" max="34" width="20.140625" customWidth="1"/>
    <col min="38" max="38" width="20.42578125" customWidth="1"/>
    <col min="45" max="45" width="18" customWidth="1"/>
    <col min="46" max="46" width="9.140625" customWidth="1"/>
    <col min="47" max="47" width="21" customWidth="1"/>
    <col min="48" max="48" width="19.5703125" customWidth="1"/>
    <col min="49" max="49" width="12" customWidth="1"/>
    <col min="50" max="50" width="12.140625" customWidth="1"/>
    <col min="52" max="52" width="18.85546875" customWidth="1"/>
    <col min="53" max="53" width="14.140625" customWidth="1"/>
    <col min="55" max="55" width="9.140625" customWidth="1"/>
    <col min="56" max="56" width="17.85546875" customWidth="1"/>
    <col min="64" max="64" width="12.42578125" customWidth="1"/>
    <col min="65" max="65" width="22.28515625" customWidth="1"/>
    <col min="68" max="68" width="22.7109375" customWidth="1"/>
    <col min="69" max="69" width="22.5703125" customWidth="1"/>
    <col min="70" max="70" width="13.5703125" customWidth="1"/>
    <col min="71" max="71" width="15.5703125" customWidth="1"/>
    <col min="75" max="75" width="24.7109375" customWidth="1"/>
    <col min="76" max="76" width="30.28515625" customWidth="1"/>
  </cols>
  <sheetData>
    <row r="1" spans="1:76" ht="120" x14ac:dyDescent="0.25">
      <c r="A1" t="s">
        <v>97</v>
      </c>
      <c r="B1" s="1" t="s">
        <v>96</v>
      </c>
      <c r="C1" s="1" t="s">
        <v>98</v>
      </c>
      <c r="D1" s="1" t="s">
        <v>98</v>
      </c>
      <c r="E1" s="1" t="s">
        <v>99</v>
      </c>
      <c r="F1" s="1" t="s">
        <v>100</v>
      </c>
      <c r="H1" s="1" t="s">
        <v>102</v>
      </c>
      <c r="I1" s="1" t="s">
        <v>101</v>
      </c>
      <c r="K1" s="1" t="s">
        <v>263</v>
      </c>
      <c r="L1" s="1"/>
      <c r="M1" s="1"/>
      <c r="N1" s="1"/>
      <c r="O1" s="1"/>
      <c r="P1" s="1"/>
      <c r="Q1" s="1"/>
      <c r="R1" s="1"/>
      <c r="S1" s="1"/>
      <c r="T1" s="1"/>
      <c r="U1" s="1" t="s">
        <v>103</v>
      </c>
      <c r="AA1" t="s">
        <v>114</v>
      </c>
      <c r="AC1" s="1" t="s">
        <v>132</v>
      </c>
      <c r="AE1" s="1" t="s">
        <v>217</v>
      </c>
      <c r="AF1" s="1" t="s">
        <v>216</v>
      </c>
      <c r="AM1" s="1" t="s">
        <v>129</v>
      </c>
      <c r="AT1" t="s">
        <v>130</v>
      </c>
      <c r="AV1" s="1" t="s">
        <v>133</v>
      </c>
      <c r="AX1" s="1" t="s">
        <v>214</v>
      </c>
      <c r="AY1" s="1" t="s">
        <v>215</v>
      </c>
      <c r="BE1" s="1" t="s">
        <v>176</v>
      </c>
      <c r="BQ1" s="1" t="s">
        <v>258</v>
      </c>
      <c r="BS1" s="1" t="s">
        <v>221</v>
      </c>
      <c r="BT1" s="1" t="s">
        <v>222</v>
      </c>
      <c r="BU1" s="1" t="s">
        <v>219</v>
      </c>
      <c r="BV1" s="1" t="s">
        <v>220</v>
      </c>
    </row>
    <row r="2" spans="1:76" x14ac:dyDescent="0.25">
      <c r="A2" t="s">
        <v>68</v>
      </c>
      <c r="B2" t="s">
        <v>32</v>
      </c>
      <c r="C2" t="s">
        <v>17</v>
      </c>
      <c r="D2" t="s">
        <v>18</v>
      </c>
      <c r="E2" t="s">
        <v>95</v>
      </c>
      <c r="F2" t="s">
        <v>90</v>
      </c>
      <c r="G2" t="s">
        <v>91</v>
      </c>
      <c r="H2" t="s">
        <v>68</v>
      </c>
      <c r="I2" t="s">
        <v>67</v>
      </c>
      <c r="K2" t="s">
        <v>272</v>
      </c>
      <c r="L2" t="s">
        <v>265</v>
      </c>
      <c r="M2" t="s">
        <v>266</v>
      </c>
      <c r="N2" t="s">
        <v>264</v>
      </c>
      <c r="O2" t="s">
        <v>273</v>
      </c>
      <c r="P2" t="s">
        <v>271</v>
      </c>
      <c r="Q2" t="s">
        <v>267</v>
      </c>
      <c r="U2" t="s">
        <v>68</v>
      </c>
      <c r="V2" t="s">
        <v>116</v>
      </c>
      <c r="W2" t="s">
        <v>117</v>
      </c>
      <c r="X2" t="s">
        <v>88</v>
      </c>
      <c r="Y2" t="s">
        <v>89</v>
      </c>
      <c r="Z2" t="s">
        <v>115</v>
      </c>
      <c r="AB2" t="s">
        <v>253</v>
      </c>
      <c r="AC2" s="1" t="s">
        <v>252</v>
      </c>
      <c r="AD2" t="s">
        <v>248</v>
      </c>
      <c r="AE2" t="s">
        <v>250</v>
      </c>
      <c r="AF2" t="s">
        <v>68</v>
      </c>
      <c r="AG2" t="s">
        <v>251</v>
      </c>
      <c r="AM2" t="s">
        <v>68</v>
      </c>
      <c r="AN2" t="s">
        <v>12</v>
      </c>
      <c r="AO2" t="s">
        <v>11</v>
      </c>
      <c r="AP2" t="s">
        <v>10</v>
      </c>
      <c r="AQ2" t="s">
        <v>9</v>
      </c>
      <c r="AR2" t="s">
        <v>8</v>
      </c>
      <c r="AS2" t="s">
        <v>131</v>
      </c>
      <c r="AU2" t="s">
        <v>256</v>
      </c>
      <c r="AV2" t="s">
        <v>255</v>
      </c>
      <c r="AW2" t="s">
        <v>248</v>
      </c>
      <c r="AX2" t="s">
        <v>249</v>
      </c>
      <c r="AY2" t="s">
        <v>68</v>
      </c>
      <c r="AZ2" t="s">
        <v>67</v>
      </c>
      <c r="BE2" t="s">
        <v>68</v>
      </c>
      <c r="BF2" t="str">
        <f>PEO_LMP_GMX_UniqueMap!BV2&amp;" (gmx)"</f>
        <v>c0 (gmx)</v>
      </c>
      <c r="BG2" t="str">
        <f>PEO_LMP_GMX_UniqueMap!BW2&amp;" (gmx)"</f>
        <v>c1 (gmx)</v>
      </c>
      <c r="BH2" t="str">
        <f>PEO_LMP_GMX_UniqueMap!BX2&amp;" (gmx)"</f>
        <v>c2 (gmx)</v>
      </c>
      <c r="BI2" t="str">
        <f>PEO_LMP_GMX_UniqueMap!BY2&amp;" (gmx)"</f>
        <v>c3 (gmx)</v>
      </c>
      <c r="BJ2" t="str">
        <f>PEO_LMP_GMX_UniqueMap!BZ2&amp;" (gmx)"</f>
        <v>c4 (gmx)</v>
      </c>
      <c r="BK2" t="str">
        <f>PEO_LMP_GMX_UniqueMap!CA2&amp;" (gmx)"</f>
        <v>c5 (gmx)</v>
      </c>
      <c r="BL2" t="s">
        <v>218</v>
      </c>
      <c r="BM2" t="s">
        <v>17</v>
      </c>
      <c r="BP2" t="s">
        <v>260</v>
      </c>
      <c r="BQ2" t="s">
        <v>259</v>
      </c>
      <c r="BR2" t="s">
        <v>244</v>
      </c>
      <c r="BS2" t="s">
        <v>245</v>
      </c>
      <c r="BT2" t="s">
        <v>246</v>
      </c>
      <c r="BU2" t="s">
        <v>247</v>
      </c>
      <c r="BV2" t="s">
        <v>68</v>
      </c>
      <c r="BW2" t="s">
        <v>67</v>
      </c>
    </row>
    <row r="3" spans="1:76" x14ac:dyDescent="0.25">
      <c r="B3">
        <v>1</v>
      </c>
      <c r="C3" t="s">
        <v>66</v>
      </c>
      <c r="D3">
        <v>6.9409999999999998</v>
      </c>
      <c r="E3" s="11">
        <f t="shared" ref="E3:E24" si="0">B3</f>
        <v>1</v>
      </c>
      <c r="F3" s="11">
        <v>2.1510500000000001</v>
      </c>
      <c r="G3" s="11">
        <v>2.4900000000000002</v>
      </c>
      <c r="H3" s="11" t="s">
        <v>68</v>
      </c>
      <c r="I3" s="11" t="s">
        <v>92</v>
      </c>
      <c r="K3" t="s">
        <v>262</v>
      </c>
      <c r="L3">
        <f>E3</f>
        <v>1</v>
      </c>
      <c r="M3" s="9">
        <f>E3</f>
        <v>1</v>
      </c>
      <c r="N3">
        <f>F3</f>
        <v>2.1510500000000001</v>
      </c>
      <c r="O3">
        <f>G3</f>
        <v>2.4900000000000002</v>
      </c>
      <c r="P3" s="10">
        <f>2.5*O3</f>
        <v>6.2250000000000005</v>
      </c>
      <c r="Q3" t="str">
        <f>H3&amp;" "&amp;I3</f>
        <v># Li-LI/Surface (Ebadi Electrochimica Acta, 234, 43-51)</v>
      </c>
      <c r="U3">
        <v>1</v>
      </c>
      <c r="V3">
        <f>PEO_LMP_GMX_UniqueMap!AB3</f>
        <v>0.14099999999999999</v>
      </c>
      <c r="W3">
        <f>PEO_LMP_GMX_UniqueMap!AC3</f>
        <v>267776</v>
      </c>
      <c r="X3" t="str">
        <f>PEO_LMP_GMX_UniqueMap!AD3</f>
        <v>O1P</v>
      </c>
      <c r="Y3" t="str">
        <f>PEO_LMP_GMX_UniqueMap!AE3</f>
        <v>C1P</v>
      </c>
      <c r="Z3" t="str">
        <f>X3&amp;"-"&amp;Y3</f>
        <v>O1P-C1P</v>
      </c>
      <c r="AB3" t="s">
        <v>254</v>
      </c>
      <c r="AC3">
        <v>1</v>
      </c>
      <c r="AD3" cm="1">
        <f t="array" ref="AD3">_xlfn.XLOOKUP(AG3,$Z$3:$Z$22,ROUND(0.00119502868*$W$3:$W$22,2))</f>
        <v>268</v>
      </c>
      <c r="AE3" cm="1">
        <f t="array" ref="AE3">_xlfn.XLOOKUP(AG3,$Z$3:$Z$22,ROUND(10*$V$3:$V$22,4))</f>
        <v>1.5289999999999999</v>
      </c>
      <c r="AF3" t="s">
        <v>68</v>
      </c>
      <c r="AG3" t="s">
        <v>104</v>
      </c>
      <c r="AM3">
        <v>1</v>
      </c>
      <c r="AN3">
        <f>PEO_LMP_GMX_UniqueMap!AU3</f>
        <v>109.5</v>
      </c>
      <c r="AO3">
        <f>PEO_LMP_GMX_UniqueMap!AV3</f>
        <v>502.08</v>
      </c>
      <c r="AP3" t="str">
        <f>PEO_LMP_GMX_UniqueMap!AW3</f>
        <v>C1P</v>
      </c>
      <c r="AQ3" t="str">
        <f>PEO_LMP_GMX_UniqueMap!AX3</f>
        <v>O1P</v>
      </c>
      <c r="AR3" t="str">
        <f>PEO_LMP_GMX_UniqueMap!AY3</f>
        <v>C1P</v>
      </c>
      <c r="AS3" t="str">
        <f>AP3&amp;"-"&amp;AQ3&amp;"-"&amp;AR3</f>
        <v>C1P-O1P-C1P</v>
      </c>
      <c r="AU3" t="s">
        <v>257</v>
      </c>
      <c r="AV3">
        <v>1</v>
      </c>
      <c r="AW3" cm="1">
        <f t="array" ref="AW3">_xlfn.XLOOKUP(AZ3,$AS$3:$AS$37,ROUND(0.119502868*$AO$3:$AO$37,3))</f>
        <v>37.5</v>
      </c>
      <c r="AX3" cm="1">
        <f t="array" ref="AX3">_xlfn.XLOOKUP(AZ3,$AS$3:$AS$37,ROUND($AN$3:$AN$37,3))</f>
        <v>110.7</v>
      </c>
      <c r="AY3" t="s">
        <v>68</v>
      </c>
      <c r="AZ3" t="s">
        <v>134</v>
      </c>
      <c r="BE3">
        <v>1</v>
      </c>
      <c r="BF3">
        <f>PEO_LMP_GMX_UniqueMap!BV3+0.001</f>
        <v>1.716</v>
      </c>
      <c r="BG3">
        <f>PEO_LMP_GMX_UniqueMap!BW3</f>
        <v>2.8450000000000002</v>
      </c>
      <c r="BH3">
        <f>PEO_LMP_GMX_UniqueMap!BX3</f>
        <v>1.046</v>
      </c>
      <c r="BI3">
        <f>PEO_LMP_GMX_UniqueMap!BY3</f>
        <v>-5.6070000000000002</v>
      </c>
      <c r="BJ3">
        <f>PEO_LMP_GMX_UniqueMap!BZ3</f>
        <v>0</v>
      </c>
      <c r="BK3">
        <f>PEO_LMP_GMX_UniqueMap!CA3</f>
        <v>0</v>
      </c>
      <c r="BL3">
        <f>SUM(BF3:BK3)</f>
        <v>0</v>
      </c>
      <c r="BM3" t="str">
        <f>PEO_LMP_GMX_UniqueMap!CB3&amp;"-"&amp;PEO_LMP_GMX_UniqueMap!CC3&amp;"-"&amp;PEO_LMP_GMX_UniqueMap!CD3&amp;"-"&amp;PEO_LMP_GMX_UniqueMap!CE3</f>
        <v>C1P-C1P-O1P-C1P</v>
      </c>
      <c r="BP3" t="s">
        <v>261</v>
      </c>
      <c r="BQ3">
        <v>1</v>
      </c>
      <c r="BR3" cm="1">
        <f t="array" ref="BR3">ROUND(0.239005736*(-2*_xlfn.XLOOKUP(BW3,$BM$3:$BM$54,ROUND($BG$3:$BG$54,5)) - 1.5*_xlfn.XLOOKUP(BW3,$BM$3:$BM$54,ROUND($BI$3:$BI$54,5))),3)</f>
        <v>0.65</v>
      </c>
      <c r="BS3" cm="1">
        <f t="array" ref="BS3">ROUND(0.239005736*(_xlfn.XLOOKUP(BW3,$BM$3:$BM$54,ROUND($BF$3:$BF$54,5)) + _xlfn.XLOOKUP(BW3,$BM$3:$BM$54,ROUND($BG$3:$BG$54,5)) + _xlfn.XLOOKUP(BW3,$BM$3:$BM$54,ROUND($BI$3:$BI$54,5))),3)</f>
        <v>-0.25</v>
      </c>
      <c r="BT3" cm="1">
        <f t="array" ref="BT3">ROUND(0.239005736*(-0.5*_xlfn.XLOOKUP(BW3,$BM$3:$BM$54,ROUND($BI$3:$BI$54,5))),3)</f>
        <v>0.67</v>
      </c>
      <c r="BU3" cm="1">
        <f t="array" ref="BU3">ROUND(0.239005736*(-0.25*_xlfn.XLOOKUP(BW3,$BM$3:$BM$54,ROUND($BJ$3:$BJ$54,5))),3)</f>
        <v>0</v>
      </c>
      <c r="BV3" t="s">
        <v>68</v>
      </c>
      <c r="BW3" t="s">
        <v>177</v>
      </c>
    </row>
    <row r="4" spans="1:76" x14ac:dyDescent="0.25">
      <c r="B4">
        <f t="shared" ref="B4:B11" si="1">B3+1</f>
        <v>2</v>
      </c>
      <c r="C4" t="str">
        <f>PEO_LMP_GMX_UniqueMap!N3</f>
        <v>C1P</v>
      </c>
      <c r="D4">
        <f>PEO_LMP_GMX_UniqueMap!M3</f>
        <v>12.010999999999999</v>
      </c>
      <c r="E4" s="12">
        <f t="shared" si="0"/>
        <v>2</v>
      </c>
      <c r="F4" s="12">
        <f>PEO_LMP_GMX_UniqueMap!J3</f>
        <v>6.6000000000000003E-2</v>
      </c>
      <c r="G4" s="12">
        <f>PEO_LMP_GMX_UniqueMap!K3</f>
        <v>3.5</v>
      </c>
      <c r="H4" s="12" t="s">
        <v>68</v>
      </c>
      <c r="I4" s="12" t="s">
        <v>69</v>
      </c>
      <c r="K4" t="s">
        <v>262</v>
      </c>
      <c r="L4">
        <f t="shared" ref="L4:L24" si="2">E4</f>
        <v>2</v>
      </c>
      <c r="M4" s="9">
        <f t="shared" ref="M4:M24" si="3">E4</f>
        <v>2</v>
      </c>
      <c r="N4">
        <f t="shared" ref="N4:N24" si="4">F4</f>
        <v>6.6000000000000003E-2</v>
      </c>
      <c r="O4">
        <f t="shared" ref="O4:O24" si="5">G4</f>
        <v>3.5</v>
      </c>
      <c r="P4" s="10">
        <f t="shared" ref="P4:P24" si="6">2.5*O4</f>
        <v>8.75</v>
      </c>
      <c r="Q4" t="str">
        <f t="shared" ref="Q4:Q24" si="7">H4&amp;" "&amp;I4</f>
        <v># C-EO/SEI</v>
      </c>
      <c r="U4">
        <f>U3+1</f>
        <v>2</v>
      </c>
      <c r="V4">
        <f>PEO_LMP_GMX_UniqueMap!AB4</f>
        <v>0.15290000000000001</v>
      </c>
      <c r="W4">
        <f>PEO_LMP_GMX_UniqueMap!AC4</f>
        <v>224262.39999999999</v>
      </c>
      <c r="X4" t="str">
        <f>PEO_LMP_GMX_UniqueMap!AD4</f>
        <v>C1P</v>
      </c>
      <c r="Y4" t="str">
        <f>PEO_LMP_GMX_UniqueMap!AE4</f>
        <v>C1P</v>
      </c>
      <c r="Z4" t="str">
        <f t="shared" ref="Z4:Z22" si="8">X4&amp;"-"&amp;Y4</f>
        <v>C1P-C1P</v>
      </c>
      <c r="AB4" t="s">
        <v>254</v>
      </c>
      <c r="AC4" s="16">
        <v>2</v>
      </c>
      <c r="AD4" s="16" cm="1">
        <f t="array" ref="AD4">_xlfn.XLOOKUP(AG4,$Z$3:$Z$22,ROUND(0.00119502868*$W$3:$W$22,2))</f>
        <v>340</v>
      </c>
      <c r="AE4" s="16" cm="1">
        <f t="array" ref="AE4">_xlfn.XLOOKUP(AG4,$Z$3:$Z$22,ROUND(10*$V$3:$V$22,4))</f>
        <v>1.0900000000000001</v>
      </c>
      <c r="AF4" s="16" t="s">
        <v>68</v>
      </c>
      <c r="AG4" s="16" t="s">
        <v>118</v>
      </c>
      <c r="AH4" s="16"/>
      <c r="AM4">
        <f>AM3+1</f>
        <v>2</v>
      </c>
      <c r="AN4">
        <f>PEO_LMP_GMX_UniqueMap!AU4</f>
        <v>109.5</v>
      </c>
      <c r="AO4">
        <f>PEO_LMP_GMX_UniqueMap!AV4</f>
        <v>418.4</v>
      </c>
      <c r="AP4" t="str">
        <f>PEO_LMP_GMX_UniqueMap!AW4</f>
        <v>O1P</v>
      </c>
      <c r="AQ4" t="str">
        <f>PEO_LMP_GMX_UniqueMap!AX4</f>
        <v>C1P</v>
      </c>
      <c r="AR4" t="str">
        <f>PEO_LMP_GMX_UniqueMap!AY4</f>
        <v>C1P</v>
      </c>
      <c r="AS4" t="str">
        <f t="shared" ref="AS4:AS37" si="9">AP4&amp;"-"&amp;AQ4&amp;"-"&amp;AR4</f>
        <v>O1P-C1P-C1P</v>
      </c>
      <c r="AU4" t="s">
        <v>257</v>
      </c>
      <c r="AV4">
        <v>2</v>
      </c>
      <c r="AW4" cm="1">
        <f t="array" ref="AW4">_xlfn.XLOOKUP(AZ4,$AS$3:$AS$37,ROUND(0.119502868*$AO$3:$AO$37,3))</f>
        <v>50</v>
      </c>
      <c r="AX4" cm="1">
        <f t="array" ref="AX4">_xlfn.XLOOKUP(AZ4,$AS$3:$AS$37,ROUND($AN$3:$AN$37,3))</f>
        <v>109.5</v>
      </c>
      <c r="AY4" t="s">
        <v>68</v>
      </c>
      <c r="AZ4" t="s">
        <v>163</v>
      </c>
      <c r="BE4">
        <f>BE3+1</f>
        <v>2</v>
      </c>
      <c r="BF4">
        <f>PEO_LMP_GMX_UniqueMap!BV4-0.001</f>
        <v>0.627</v>
      </c>
      <c r="BG4">
        <f>PEO_LMP_GMX_UniqueMap!BW4</f>
        <v>1.883</v>
      </c>
      <c r="BH4">
        <f>PEO_LMP_GMX_UniqueMap!BX4</f>
        <v>0</v>
      </c>
      <c r="BI4">
        <f>PEO_LMP_GMX_UniqueMap!BY4</f>
        <v>-2.5099999999999998</v>
      </c>
      <c r="BJ4">
        <f>PEO_LMP_GMX_UniqueMap!BZ4</f>
        <v>0</v>
      </c>
      <c r="BK4">
        <f>PEO_LMP_GMX_UniqueMap!CA4</f>
        <v>0</v>
      </c>
      <c r="BL4">
        <f t="shared" ref="BL4:BL33" si="10">SUM(BF4:BK4)</f>
        <v>0</v>
      </c>
      <c r="BM4" t="str">
        <f>PEO_LMP_GMX_UniqueMap!CB4&amp;"-"&amp;PEO_LMP_GMX_UniqueMap!CC4&amp;"-"&amp;PEO_LMP_GMX_UniqueMap!CD4&amp;"-"&amp;PEO_LMP_GMX_UniqueMap!CE4</f>
        <v>HP-C1P-C1P-HP</v>
      </c>
      <c r="BP4" t="s">
        <v>261</v>
      </c>
      <c r="BQ4">
        <v>2</v>
      </c>
      <c r="BR4" cm="1">
        <f t="array" ref="BR4">ROUND(0.239005736*(-2*_xlfn.XLOOKUP(BW4,$BM$3:$BM$54,ROUND($BG$3:$BG$54,5)) - 1.5*_xlfn.XLOOKUP(BW4,$BM$3:$BM$54,ROUND($BI$3:$BI$54,5))),3)</f>
        <v>0</v>
      </c>
      <c r="BS4" cm="1">
        <f t="array" ref="BS4">ROUND(0.239005736*(_xlfn.XLOOKUP(BW4,$BM$3:$BM$54,ROUND($BF$3:$BF$54,5)) + _xlfn.XLOOKUP(BW4,$BM$3:$BM$54,ROUND($BG$3:$BG$54,5)) + _xlfn.XLOOKUP(BW4,$BM$3:$BM$54,ROUND($BI$3:$BI$54,5))),3)</f>
        <v>0</v>
      </c>
      <c r="BT4" cm="1">
        <f t="array" ref="BT4">ROUND(0.239005736*(-0.5*_xlfn.XLOOKUP(BW4,$BM$3:$BM$54,ROUND($BI$3:$BI$54,5))),3)</f>
        <v>0.3</v>
      </c>
      <c r="BU4" cm="1">
        <f t="array" ref="BU4">ROUND(0.239005736*(-0.25*_xlfn.XLOOKUP(BW4,$BM$3:$BM$54,ROUND($BJ$3:$BJ$54,5))),3)</f>
        <v>0</v>
      </c>
      <c r="BV4" t="s">
        <v>68</v>
      </c>
      <c r="BW4" t="s">
        <v>178</v>
      </c>
    </row>
    <row r="5" spans="1:76" x14ac:dyDescent="0.25">
      <c r="B5">
        <f t="shared" si="1"/>
        <v>3</v>
      </c>
      <c r="C5" t="str">
        <f>PEO_LMP_GMX_UniqueMap!N5</f>
        <v>HP</v>
      </c>
      <c r="D5">
        <f>PEO_LMP_GMX_UniqueMap!M5</f>
        <v>1.008</v>
      </c>
      <c r="E5" s="12">
        <f t="shared" si="0"/>
        <v>3</v>
      </c>
      <c r="F5" s="12">
        <f>PEO_LMP_GMX_UniqueMap!J5</f>
        <v>0.03</v>
      </c>
      <c r="G5" s="12">
        <f>PEO_LMP_GMX_UniqueMap!K5</f>
        <v>2.5</v>
      </c>
      <c r="H5" s="12" t="s">
        <v>68</v>
      </c>
      <c r="I5" s="12" t="s">
        <v>70</v>
      </c>
      <c r="K5" t="s">
        <v>262</v>
      </c>
      <c r="L5">
        <f t="shared" si="2"/>
        <v>3</v>
      </c>
      <c r="M5" s="9">
        <f t="shared" si="3"/>
        <v>3</v>
      </c>
      <c r="N5">
        <f t="shared" si="4"/>
        <v>0.03</v>
      </c>
      <c r="O5">
        <f t="shared" si="5"/>
        <v>2.5</v>
      </c>
      <c r="P5" s="10">
        <f t="shared" si="6"/>
        <v>6.25</v>
      </c>
      <c r="Q5" t="str">
        <f t="shared" si="7"/>
        <v># H-EO/SEI</v>
      </c>
      <c r="U5">
        <f t="shared" ref="U5:U22" si="11">U4+1</f>
        <v>3</v>
      </c>
      <c r="V5">
        <f>PEO_LMP_GMX_UniqueMap!AB5</f>
        <v>0.109</v>
      </c>
      <c r="W5">
        <f>PEO_LMP_GMX_UniqueMap!AC5</f>
        <v>284512</v>
      </c>
      <c r="X5" t="str">
        <f>PEO_LMP_GMX_UniqueMap!AD5</f>
        <v>HP</v>
      </c>
      <c r="Y5" t="str">
        <f>PEO_LMP_GMX_UniqueMap!AE5</f>
        <v>C1P</v>
      </c>
      <c r="Z5" t="str">
        <f t="shared" si="8"/>
        <v>HP-C1P</v>
      </c>
      <c r="AB5" t="s">
        <v>254</v>
      </c>
      <c r="AC5">
        <v>3</v>
      </c>
      <c r="AD5" cm="1">
        <f t="array" ref="AD5">_xlfn.XLOOKUP(AG5,$Z$3:$Z$22,ROUND(0.00119502868*$W$3:$W$22,2))</f>
        <v>320</v>
      </c>
      <c r="AE5" cm="1">
        <f t="array" ref="AE5">_xlfn.XLOOKUP(AG5,$Z$3:$Z$22,ROUND(10*$V$3:$V$22,4))</f>
        <v>1.41</v>
      </c>
      <c r="AF5" t="s">
        <v>68</v>
      </c>
      <c r="AG5" t="s">
        <v>119</v>
      </c>
      <c r="AM5">
        <f t="shared" ref="AM5:AM37" si="12">AM4+1</f>
        <v>3</v>
      </c>
      <c r="AN5">
        <f>PEO_LMP_GMX_UniqueMap!AU5</f>
        <v>109.5</v>
      </c>
      <c r="AO5">
        <f>PEO_LMP_GMX_UniqueMap!AV5</f>
        <v>292.88</v>
      </c>
      <c r="AP5" t="str">
        <f>PEO_LMP_GMX_UniqueMap!AW5</f>
        <v>O1P</v>
      </c>
      <c r="AQ5" t="str">
        <f>PEO_LMP_GMX_UniqueMap!AX5</f>
        <v>C1P</v>
      </c>
      <c r="AR5" t="str">
        <f>PEO_LMP_GMX_UniqueMap!AY5</f>
        <v>HP</v>
      </c>
      <c r="AS5" t="str">
        <f t="shared" si="9"/>
        <v>O1P-C1P-HP</v>
      </c>
      <c r="AU5" t="s">
        <v>257</v>
      </c>
      <c r="AV5">
        <v>3</v>
      </c>
      <c r="AW5" cm="1">
        <f t="array" ref="AW5">_xlfn.XLOOKUP(AZ5,$AS$3:$AS$37,ROUND(0.119502868*$AO$3:$AO$37,3))</f>
        <v>60</v>
      </c>
      <c r="AX5" cm="1">
        <f t="array" ref="AX5">_xlfn.XLOOKUP(AZ5,$AS$3:$AS$37,ROUND($AN$3:$AN$37,3))</f>
        <v>109.5</v>
      </c>
      <c r="AY5" t="s">
        <v>68</v>
      </c>
      <c r="AZ5" t="s">
        <v>135</v>
      </c>
      <c r="BE5">
        <f t="shared" ref="BE5:BE43" si="13">BE4+1</f>
        <v>3</v>
      </c>
      <c r="BF5">
        <f>PEO_LMP_GMX_UniqueMap!BV5</f>
        <v>0.97899999999999998</v>
      </c>
      <c r="BG5">
        <f>PEO_LMP_GMX_UniqueMap!BW5</f>
        <v>2.9369999999999998</v>
      </c>
      <c r="BH5">
        <f>PEO_LMP_GMX_UniqueMap!BX5</f>
        <v>0</v>
      </c>
      <c r="BI5">
        <f>PEO_LMP_GMX_UniqueMap!BY5</f>
        <v>-3.9159999999999999</v>
      </c>
      <c r="BJ5">
        <f>PEO_LMP_GMX_UniqueMap!BZ5</f>
        <v>0</v>
      </c>
      <c r="BK5">
        <f>PEO_LMP_GMX_UniqueMap!CA5</f>
        <v>0</v>
      </c>
      <c r="BL5">
        <f t="shared" si="10"/>
        <v>0</v>
      </c>
      <c r="BM5" t="str">
        <f>PEO_LMP_GMX_UniqueMap!CB5&amp;"-"&amp;PEO_LMP_GMX_UniqueMap!CC5&amp;"-"&amp;PEO_LMP_GMX_UniqueMap!CD5&amp;"-"&amp;PEO_LMP_GMX_UniqueMap!CE5</f>
        <v>HP-C1P-C1P-O1P</v>
      </c>
      <c r="BP5" t="s">
        <v>261</v>
      </c>
      <c r="BQ5">
        <v>3</v>
      </c>
      <c r="BR5" cm="1">
        <f t="array" ref="BR5">ROUND(0.239005736*(-2*_xlfn.XLOOKUP(BW5,$BM$3:$BM$54,ROUND($BG$3:$BG$54,5)) - 1.5*_xlfn.XLOOKUP(BW5,$BM$3:$BM$54,ROUND($BI$3:$BI$54,5))),3)</f>
        <v>0</v>
      </c>
      <c r="BS5" cm="1">
        <f t="array" ref="BS5">ROUND(0.239005736*(_xlfn.XLOOKUP(BW5,$BM$3:$BM$54,ROUND($BF$3:$BF$54,5)) + _xlfn.XLOOKUP(BW5,$BM$3:$BM$54,ROUND($BG$3:$BG$54,5)) + _xlfn.XLOOKUP(BW5,$BM$3:$BM$54,ROUND($BI$3:$BI$54,5))),3)</f>
        <v>0</v>
      </c>
      <c r="BT5" cm="1">
        <f t="array" ref="BT5">ROUND(0.239005736*(-0.5*_xlfn.XLOOKUP(BW5,$BM$3:$BM$54,ROUND($BI$3:$BI$54,5))),3)</f>
        <v>0.46800000000000003</v>
      </c>
      <c r="BU5" cm="1">
        <f t="array" ref="BU5">ROUND(0.239005736*(-0.25*_xlfn.XLOOKUP(BW5,$BM$3:$BM$54,ROUND($BJ$3:$BJ$54,5))),3)</f>
        <v>0</v>
      </c>
      <c r="BV5" t="s">
        <v>68</v>
      </c>
      <c r="BW5" t="s">
        <v>179</v>
      </c>
    </row>
    <row r="6" spans="1:76" x14ac:dyDescent="0.25">
      <c r="B6">
        <f t="shared" si="1"/>
        <v>4</v>
      </c>
      <c r="C6" t="str">
        <f>PEO_LMP_GMX_UniqueMap!N4</f>
        <v>O1P</v>
      </c>
      <c r="D6">
        <f>PEO_LMP_GMX_UniqueMap!M4</f>
        <v>15.999000000000001</v>
      </c>
      <c r="E6" s="12">
        <f t="shared" si="0"/>
        <v>4</v>
      </c>
      <c r="F6" s="12">
        <f>PEO_LMP_GMX_UniqueMap!J4</f>
        <v>0.14000000000000001</v>
      </c>
      <c r="G6" s="12">
        <f>PEO_LMP_GMX_UniqueMap!K4</f>
        <v>2.9</v>
      </c>
      <c r="H6" s="12" t="s">
        <v>68</v>
      </c>
      <c r="I6" s="12" t="s">
        <v>71</v>
      </c>
      <c r="K6" t="s">
        <v>262</v>
      </c>
      <c r="L6">
        <f t="shared" si="2"/>
        <v>4</v>
      </c>
      <c r="M6" s="9">
        <f t="shared" si="3"/>
        <v>4</v>
      </c>
      <c r="N6">
        <f t="shared" si="4"/>
        <v>0.14000000000000001</v>
      </c>
      <c r="O6">
        <f t="shared" si="5"/>
        <v>2.9</v>
      </c>
      <c r="P6" s="10">
        <f t="shared" si="6"/>
        <v>7.25</v>
      </c>
      <c r="Q6" t="str">
        <f t="shared" si="7"/>
        <v># O-EO/SEI</v>
      </c>
      <c r="U6">
        <f t="shared" si="11"/>
        <v>4</v>
      </c>
      <c r="V6">
        <f>CO32M_LMP_GMX_UniqueMap!AB3</f>
        <v>0.1229</v>
      </c>
      <c r="W6">
        <f>CO32M_LMP_GMX_UniqueMap!AC3</f>
        <v>476976</v>
      </c>
      <c r="X6" t="str">
        <f>CO32M_LMP_GMX_UniqueMap!AD3</f>
        <v>C1C</v>
      </c>
      <c r="Y6" t="str">
        <f>CO32M_LMP_GMX_UniqueMap!AE3</f>
        <v>O1C</v>
      </c>
      <c r="Z6" t="str">
        <f t="shared" si="8"/>
        <v>C1C-O1C</v>
      </c>
      <c r="AB6" t="s">
        <v>254</v>
      </c>
      <c r="AC6">
        <v>4</v>
      </c>
      <c r="AD6" cm="1">
        <f t="array" ref="AD6">_xlfn.XLOOKUP(AG6,$Z$3:$Z$22,ROUND(0.00119502868*$W$3:$W$22,2))</f>
        <v>570</v>
      </c>
      <c r="AE6" cm="1">
        <f t="array" ref="AE6">_xlfn.XLOOKUP(AG6,$Z$3:$Z$22,ROUND(10*$V$3:$V$22,4))</f>
        <v>1.2290000000000001</v>
      </c>
      <c r="AF6" t="s">
        <v>68</v>
      </c>
      <c r="AG6" t="s">
        <v>105</v>
      </c>
      <c r="AM6">
        <f t="shared" si="12"/>
        <v>4</v>
      </c>
      <c r="AN6">
        <f>PEO_LMP_GMX_UniqueMap!AU6</f>
        <v>110.7</v>
      </c>
      <c r="AO6">
        <f>PEO_LMP_GMX_UniqueMap!AV6</f>
        <v>313.8</v>
      </c>
      <c r="AP6" t="str">
        <f>PEO_LMP_GMX_UniqueMap!AW6</f>
        <v>C1P</v>
      </c>
      <c r="AQ6" t="str">
        <f>PEO_LMP_GMX_UniqueMap!AX6</f>
        <v>C1P</v>
      </c>
      <c r="AR6" t="str">
        <f>PEO_LMP_GMX_UniqueMap!AY6</f>
        <v>HP</v>
      </c>
      <c r="AS6" t="str">
        <f t="shared" si="9"/>
        <v>C1P-C1P-HP</v>
      </c>
      <c r="AU6" t="s">
        <v>257</v>
      </c>
      <c r="AV6" s="16">
        <v>4</v>
      </c>
      <c r="AW6" s="16" cm="1">
        <f t="array" ref="AW6">_xlfn.XLOOKUP(AZ6,$AS$3:$AS$37,ROUND(0.119502868*$AO$3:$AO$37,3))</f>
        <v>33</v>
      </c>
      <c r="AX6" s="16" cm="1">
        <f t="array" ref="AX6">_xlfn.XLOOKUP(AZ6,$AS$3:$AS$37,ROUND($AN$3:$AN$37,3))</f>
        <v>107.8</v>
      </c>
      <c r="AY6" s="16" t="s">
        <v>68</v>
      </c>
      <c r="AZ6" s="16" t="s">
        <v>136</v>
      </c>
      <c r="BE6">
        <f t="shared" si="13"/>
        <v>4</v>
      </c>
      <c r="BF6">
        <f>PEO_LMP_GMX_UniqueMap!BV6</f>
        <v>1.59</v>
      </c>
      <c r="BG6">
        <f>PEO_LMP_GMX_UniqueMap!BW6</f>
        <v>4.7699999999999996</v>
      </c>
      <c r="BH6">
        <f>PEO_LMP_GMX_UniqueMap!BX6</f>
        <v>0</v>
      </c>
      <c r="BI6">
        <f>PEO_LMP_GMX_UniqueMap!BY6</f>
        <v>-6.36</v>
      </c>
      <c r="BJ6">
        <f>PEO_LMP_GMX_UniqueMap!BZ6</f>
        <v>0</v>
      </c>
      <c r="BK6">
        <f>PEO_LMP_GMX_UniqueMap!CA6</f>
        <v>0</v>
      </c>
      <c r="BL6">
        <f t="shared" si="10"/>
        <v>-8.8817841970012523E-16</v>
      </c>
      <c r="BM6" t="str">
        <f>PEO_LMP_GMX_UniqueMap!CB6&amp;"-"&amp;PEO_LMP_GMX_UniqueMap!CC6&amp;"-"&amp;PEO_LMP_GMX_UniqueMap!CD6&amp;"-"&amp;PEO_LMP_GMX_UniqueMap!CE6</f>
        <v>HP-C1P-O1P-C1P</v>
      </c>
      <c r="BP6" t="s">
        <v>261</v>
      </c>
      <c r="BQ6">
        <v>4</v>
      </c>
      <c r="BR6" cm="1">
        <f t="array" ref="BR6">ROUND(0.239005736*(-2*_xlfn.XLOOKUP(BW6,$BM$3:$BM$54,ROUND($BG$3:$BG$54,5)) - 1.5*_xlfn.XLOOKUP(BW6,$BM$3:$BM$54,ROUND($BI$3:$BI$54,5))),3)</f>
        <v>0</v>
      </c>
      <c r="BS6" cm="1">
        <f t="array" ref="BS6">ROUND(0.239005736*(_xlfn.XLOOKUP(BW6,$BM$3:$BM$54,ROUND($BF$3:$BF$54,5)) + _xlfn.XLOOKUP(BW6,$BM$3:$BM$54,ROUND($BG$3:$BG$54,5)) + _xlfn.XLOOKUP(BW6,$BM$3:$BM$54,ROUND($BI$3:$BI$54,5))),3)</f>
        <v>0</v>
      </c>
      <c r="BT6" cm="1">
        <f t="array" ref="BT6">ROUND(0.239005736*(-0.5*_xlfn.XLOOKUP(BW6,$BM$3:$BM$54,ROUND($BI$3:$BI$54,5))),3)</f>
        <v>0.76</v>
      </c>
      <c r="BU6" cm="1">
        <f t="array" ref="BU6">ROUND(0.239005736*(-0.25*_xlfn.XLOOKUP(BW6,$BM$3:$BM$54,ROUND($BJ$3:$BJ$54,5))),3)</f>
        <v>0</v>
      </c>
      <c r="BV6" t="s">
        <v>68</v>
      </c>
      <c r="BW6" t="s">
        <v>180</v>
      </c>
    </row>
    <row r="7" spans="1:76" x14ac:dyDescent="0.25">
      <c r="B7">
        <f t="shared" si="1"/>
        <v>5</v>
      </c>
      <c r="C7" t="s">
        <v>87</v>
      </c>
      <c r="D7">
        <v>6.9409999999999998</v>
      </c>
      <c r="E7" s="13">
        <f t="shared" si="0"/>
        <v>5</v>
      </c>
      <c r="F7" s="13">
        <v>0.4</v>
      </c>
      <c r="G7" s="13">
        <v>1.4</v>
      </c>
      <c r="H7" s="13" t="s">
        <v>68</v>
      </c>
      <c r="I7" s="13" t="s">
        <v>86</v>
      </c>
      <c r="K7" t="s">
        <v>262</v>
      </c>
      <c r="L7">
        <f t="shared" si="2"/>
        <v>5</v>
      </c>
      <c r="M7" s="9">
        <f t="shared" si="3"/>
        <v>5</v>
      </c>
      <c r="N7">
        <f t="shared" si="4"/>
        <v>0.4</v>
      </c>
      <c r="O7">
        <f t="shared" si="5"/>
        <v>1.4</v>
      </c>
      <c r="P7" s="10">
        <f t="shared" si="6"/>
        <v>3.5</v>
      </c>
      <c r="Q7" t="str">
        <f t="shared" si="7"/>
        <v># Li-LP/SEI (Table1: https://pubs.acs.org/doi/10.1021/acs.jpcb.3c05591, Wu-Wick)</v>
      </c>
      <c r="U7">
        <f t="shared" si="11"/>
        <v>5</v>
      </c>
      <c r="V7">
        <f>CO32M_LMP_GMX_UniqueMap!AB4</f>
        <v>0.13639999999999999</v>
      </c>
      <c r="W7">
        <f>CO32M_LMP_GMX_UniqueMap!AC4</f>
        <v>376560</v>
      </c>
      <c r="X7" t="str">
        <f>CO32M_LMP_GMX_UniqueMap!AD4</f>
        <v>O2C</v>
      </c>
      <c r="Y7" t="str">
        <f>CO32M_LMP_GMX_UniqueMap!AE4</f>
        <v>C1C</v>
      </c>
      <c r="Z7" t="str">
        <f t="shared" si="8"/>
        <v>O2C-C1C</v>
      </c>
      <c r="AB7" t="s">
        <v>254</v>
      </c>
      <c r="AC7">
        <v>5</v>
      </c>
      <c r="AD7" cm="1">
        <f t="array" ref="AD7">_xlfn.XLOOKUP(AG7,$Z$3:$Z$22,ROUND(0.00119502868*$W$3:$W$22,2))</f>
        <v>450</v>
      </c>
      <c r="AE7" cm="1">
        <f t="array" ref="AE7">_xlfn.XLOOKUP(AG7,$Z$3:$Z$22,ROUND(10*$V$3:$V$22,4))</f>
        <v>1.3640000000000001</v>
      </c>
      <c r="AF7" t="s">
        <v>68</v>
      </c>
      <c r="AG7" t="s">
        <v>120</v>
      </c>
      <c r="AM7">
        <f t="shared" si="12"/>
        <v>5</v>
      </c>
      <c r="AN7">
        <f>PEO_LMP_GMX_UniqueMap!AU7</f>
        <v>107.8</v>
      </c>
      <c r="AO7">
        <f>PEO_LMP_GMX_UniqueMap!AV7</f>
        <v>276.14400000000001</v>
      </c>
      <c r="AP7" t="str">
        <f>PEO_LMP_GMX_UniqueMap!AW7</f>
        <v>HP</v>
      </c>
      <c r="AQ7" t="str">
        <f>PEO_LMP_GMX_UniqueMap!AX7</f>
        <v>C1P</v>
      </c>
      <c r="AR7" t="str">
        <f>PEO_LMP_GMX_UniqueMap!AY7</f>
        <v>HP</v>
      </c>
      <c r="AS7" t="str">
        <f t="shared" si="9"/>
        <v>HP-C1P-HP</v>
      </c>
      <c r="AU7" t="s">
        <v>257</v>
      </c>
      <c r="AV7">
        <v>5</v>
      </c>
      <c r="AW7" cm="1">
        <f t="array" ref="AW7">_xlfn.XLOOKUP(AZ7,$AS$3:$AS$37,ROUND(0.119502868*$AO$3:$AO$37,3))</f>
        <v>35</v>
      </c>
      <c r="AX7" cm="1">
        <f t="array" ref="AX7">_xlfn.XLOOKUP(AZ7,$AS$3:$AS$37,ROUND($AN$3:$AN$37,3))</f>
        <v>109.5</v>
      </c>
      <c r="AY7" t="s">
        <v>68</v>
      </c>
      <c r="AZ7" t="s">
        <v>164</v>
      </c>
      <c r="BE7">
        <f t="shared" si="13"/>
        <v>5</v>
      </c>
      <c r="BF7">
        <f>PEO_LMP_GMX_UniqueMap!BV7</f>
        <v>-1.151</v>
      </c>
      <c r="BG7">
        <f>PEO_LMP_GMX_UniqueMap!BW7</f>
        <v>1.151</v>
      </c>
      <c r="BH7">
        <f>PEO_LMP_GMX_UniqueMap!BX7</f>
        <v>0</v>
      </c>
      <c r="BI7">
        <f>PEO_LMP_GMX_UniqueMap!BY7</f>
        <v>0</v>
      </c>
      <c r="BJ7">
        <f>PEO_LMP_GMX_UniqueMap!BZ7</f>
        <v>0</v>
      </c>
      <c r="BK7">
        <f>PEO_LMP_GMX_UniqueMap!CA7</f>
        <v>0</v>
      </c>
      <c r="BL7">
        <f t="shared" si="10"/>
        <v>0</v>
      </c>
      <c r="BM7" t="str">
        <f>PEO_LMP_GMX_UniqueMap!CB7&amp;"-"&amp;PEO_LMP_GMX_UniqueMap!CC7&amp;"-"&amp;PEO_LMP_GMX_UniqueMap!CD7&amp;"-"&amp;PEO_LMP_GMX_UniqueMap!CE7</f>
        <v>O1P-C1P-C1P-O1P</v>
      </c>
      <c r="BP7" t="s">
        <v>261</v>
      </c>
      <c r="BQ7">
        <v>5</v>
      </c>
      <c r="BR7" cm="1">
        <f t="array" ref="BR7">ROUND(0.239005736*(-2*_xlfn.XLOOKUP(BW7,$BM$3:$BM$54,ROUND($BG$3:$BG$54,5)) - 1.5*_xlfn.XLOOKUP(BW7,$BM$3:$BM$54,ROUND($BI$3:$BI$54,5))),3)</f>
        <v>-0.55000000000000004</v>
      </c>
      <c r="BS7" cm="1">
        <f t="array" ref="BS7">ROUND(0.239005736*(_xlfn.XLOOKUP(BW7,$BM$3:$BM$54,ROUND($BF$3:$BF$54,5)) + _xlfn.XLOOKUP(BW7,$BM$3:$BM$54,ROUND($BG$3:$BG$54,5)) + _xlfn.XLOOKUP(BW7,$BM$3:$BM$54,ROUND($BI$3:$BI$54,5))),3)</f>
        <v>0</v>
      </c>
      <c r="BT7" cm="1">
        <f t="array" ref="BT7">ROUND(0.239005736*(-0.5*_xlfn.XLOOKUP(BW7,$BM$3:$BM$54,ROUND($BI$3:$BI$54,5))),3)</f>
        <v>0</v>
      </c>
      <c r="BU7" cm="1">
        <f t="array" ref="BU7">ROUND(0.239005736*(-0.25*_xlfn.XLOOKUP(BW7,$BM$3:$BM$54,ROUND($BJ$3:$BJ$54,5))),3)</f>
        <v>0</v>
      </c>
      <c r="BV7" t="s">
        <v>68</v>
      </c>
      <c r="BW7" t="s">
        <v>181</v>
      </c>
    </row>
    <row r="8" spans="1:76" x14ac:dyDescent="0.25">
      <c r="B8">
        <f t="shared" si="1"/>
        <v>6</v>
      </c>
      <c r="C8" t="str">
        <f>CO32M_LMP_GMX_UniqueMap!N4</f>
        <v>C1C</v>
      </c>
      <c r="D8">
        <f>CO32M_LMP_GMX_UniqueMap!M4</f>
        <v>12.010999999999999</v>
      </c>
      <c r="E8" s="14">
        <f t="shared" si="0"/>
        <v>6</v>
      </c>
      <c r="F8" s="14">
        <f>CO32M_LMP_GMX_UniqueMap!J4</f>
        <v>7.0000000000000007E-2</v>
      </c>
      <c r="G8" s="14">
        <f>CO32M_LMP_GMX_UniqueMap!K4</f>
        <v>3.55</v>
      </c>
      <c r="H8" s="14" t="s">
        <v>68</v>
      </c>
      <c r="I8" s="14" t="s">
        <v>72</v>
      </c>
      <c r="K8" t="s">
        <v>262</v>
      </c>
      <c r="L8">
        <f t="shared" si="2"/>
        <v>6</v>
      </c>
      <c r="M8" s="9">
        <f t="shared" si="3"/>
        <v>6</v>
      </c>
      <c r="N8">
        <f t="shared" si="4"/>
        <v>7.0000000000000007E-2</v>
      </c>
      <c r="O8">
        <f t="shared" si="5"/>
        <v>3.55</v>
      </c>
      <c r="P8" s="10">
        <f t="shared" si="6"/>
        <v>8.875</v>
      </c>
      <c r="Q8" t="str">
        <f t="shared" si="7"/>
        <v># C1-COI/SEI</v>
      </c>
      <c r="R8" s="6"/>
      <c r="S8" s="6"/>
      <c r="T8" s="6"/>
      <c r="U8">
        <f t="shared" si="11"/>
        <v>6</v>
      </c>
      <c r="V8">
        <f>MTFSI_LMP_GMX_UniqueMap!AB3</f>
        <v>0.109</v>
      </c>
      <c r="W8">
        <f>MTFSI_LMP_GMX_UniqueMap!AC3</f>
        <v>284512</v>
      </c>
      <c r="X8" t="str">
        <f>MTFSI_LMP_GMX_UniqueMap!AD3</f>
        <v>C1MT</v>
      </c>
      <c r="Y8" t="str">
        <f>MTFSI_LMP_GMX_UniqueMap!AE3</f>
        <v>HMT</v>
      </c>
      <c r="Z8" t="str">
        <f t="shared" si="8"/>
        <v>C1MT-HMT</v>
      </c>
      <c r="AB8" t="s">
        <v>254</v>
      </c>
      <c r="AC8">
        <v>6</v>
      </c>
      <c r="AD8" cm="1">
        <f t="array" ref="AD8">_xlfn.XLOOKUP(AG8,$Z$3:$Z$22,ROUND(0.00119502868*$W$3:$W$22,2))</f>
        <v>268</v>
      </c>
      <c r="AE8" cm="1">
        <f t="array" ref="AE8">_xlfn.XLOOKUP(AG8,$Z$3:$Z$22,ROUND(10*$V$3:$V$22,4))</f>
        <v>1.5289999999999999</v>
      </c>
      <c r="AF8" t="s">
        <v>68</v>
      </c>
      <c r="AG8" t="s">
        <v>106</v>
      </c>
      <c r="AM8">
        <f t="shared" si="12"/>
        <v>6</v>
      </c>
      <c r="AN8">
        <f>CO32M_LMP_GMX_UniqueMap!AU3</f>
        <v>121</v>
      </c>
      <c r="AO8">
        <f>CO32M_LMP_GMX_UniqueMap!AV3</f>
        <v>669.44</v>
      </c>
      <c r="AP8" t="str">
        <f>CO32M_LMP_GMX_UniqueMap!AW3</f>
        <v>O1C</v>
      </c>
      <c r="AQ8" t="str">
        <f>CO32M_LMP_GMX_UniqueMap!AX3</f>
        <v>C1C</v>
      </c>
      <c r="AR8" t="str">
        <f>CO32M_LMP_GMX_UniqueMap!AY3</f>
        <v>O2C</v>
      </c>
      <c r="AS8" t="str">
        <f t="shared" si="9"/>
        <v>O1C-C1C-O2C</v>
      </c>
      <c r="AU8" t="s">
        <v>257</v>
      </c>
      <c r="AV8">
        <v>6</v>
      </c>
      <c r="AW8" cm="1">
        <f t="array" ref="AW8">_xlfn.XLOOKUP(AZ8,$AS$3:$AS$37,ROUND(0.119502868*$AO$3:$AO$37,3))</f>
        <v>80</v>
      </c>
      <c r="AX8" cm="1">
        <f t="array" ref="AX8">_xlfn.XLOOKUP(AZ8,$AS$3:$AS$37,ROUND($AN$3:$AN$37,3))</f>
        <v>121</v>
      </c>
      <c r="AY8" t="s">
        <v>68</v>
      </c>
      <c r="AZ8" t="s">
        <v>137</v>
      </c>
      <c r="BE8">
        <f t="shared" si="13"/>
        <v>6</v>
      </c>
      <c r="BF8">
        <f>MTFSI_LMP_GMX_UniqueMap!BV3</f>
        <v>-0.20899999999999999</v>
      </c>
      <c r="BG8">
        <f>MTFSI_LMP_GMX_UniqueMap!BW3</f>
        <v>-0.628</v>
      </c>
      <c r="BH8">
        <f>MTFSI_LMP_GMX_UniqueMap!BX3</f>
        <v>0</v>
      </c>
      <c r="BI8">
        <f>MTFSI_LMP_GMX_UniqueMap!BY3</f>
        <v>0.83699999999999997</v>
      </c>
      <c r="BJ8">
        <f>MTFSI_LMP_GMX_UniqueMap!BZ3</f>
        <v>0</v>
      </c>
      <c r="BK8">
        <f>MTFSI_LMP_GMX_UniqueMap!CA3</f>
        <v>0</v>
      </c>
      <c r="BL8">
        <f t="shared" si="10"/>
        <v>0</v>
      </c>
      <c r="BM8" t="str">
        <f>MTFSI_LMP_GMX_UniqueMap!CB3&amp;"-"&amp;MTFSI_LMP_GMX_UniqueMap!CC3&amp;"-"&amp;MTFSI_LMP_GMX_UniqueMap!CD3&amp;"-"&amp;MTFSI_LMP_GMX_UniqueMap!CE3</f>
        <v>C2MT-C1MT-C1MT-HMT</v>
      </c>
      <c r="BP8" t="s">
        <v>261</v>
      </c>
      <c r="BQ8">
        <v>6</v>
      </c>
      <c r="BR8" s="7">
        <f>BR62</f>
        <v>1.3</v>
      </c>
      <c r="BS8" s="7">
        <f t="shared" ref="BS8:BU8" si="14">BS62</f>
        <v>-0.2</v>
      </c>
      <c r="BT8" s="7">
        <f t="shared" si="14"/>
        <v>0.2</v>
      </c>
      <c r="BU8" s="7">
        <f t="shared" si="14"/>
        <v>0</v>
      </c>
      <c r="BV8" s="7" t="s">
        <v>68</v>
      </c>
      <c r="BW8" s="7" t="s">
        <v>182</v>
      </c>
      <c r="BX8" s="7" t="s">
        <v>241</v>
      </c>
    </row>
    <row r="9" spans="1:76" x14ac:dyDescent="0.25">
      <c r="B9">
        <f t="shared" si="1"/>
        <v>7</v>
      </c>
      <c r="C9" t="str">
        <f>CO32M_LMP_GMX_UniqueMap!N3</f>
        <v>O1C</v>
      </c>
      <c r="D9">
        <f>CO32M_LMP_GMX_UniqueMap!M3</f>
        <v>15.999000000000001</v>
      </c>
      <c r="E9" s="14">
        <f t="shared" si="0"/>
        <v>7</v>
      </c>
      <c r="F9" s="14">
        <f>CO32M_LMP_GMX_UniqueMap!J3</f>
        <v>0.21</v>
      </c>
      <c r="G9" s="14">
        <f>CO32M_LMP_GMX_UniqueMap!K3</f>
        <v>2.96</v>
      </c>
      <c r="H9" s="14" t="s">
        <v>68</v>
      </c>
      <c r="I9" s="14" t="s">
        <v>73</v>
      </c>
      <c r="K9" t="s">
        <v>262</v>
      </c>
      <c r="L9">
        <f t="shared" si="2"/>
        <v>7</v>
      </c>
      <c r="M9" s="9">
        <f t="shared" si="3"/>
        <v>7</v>
      </c>
      <c r="N9">
        <f t="shared" si="4"/>
        <v>0.21</v>
      </c>
      <c r="O9">
        <f t="shared" si="5"/>
        <v>2.96</v>
      </c>
      <c r="P9" s="10">
        <f t="shared" si="6"/>
        <v>7.4</v>
      </c>
      <c r="Q9" t="str">
        <f t="shared" si="7"/>
        <v># O1-COI/SEI</v>
      </c>
      <c r="U9">
        <f t="shared" si="11"/>
        <v>7</v>
      </c>
      <c r="V9">
        <f>MTFSI_LMP_GMX_UniqueMap!AB4</f>
        <v>0.1229</v>
      </c>
      <c r="W9">
        <f>MTFSI_LMP_GMX_UniqueMap!AC4</f>
        <v>476976</v>
      </c>
      <c r="X9" t="str">
        <f>MTFSI_LMP_GMX_UniqueMap!AD4</f>
        <v>O2MT</v>
      </c>
      <c r="Y9" t="str">
        <f>MTFSI_LMP_GMX_UniqueMap!AE4</f>
        <v>C2MT</v>
      </c>
      <c r="Z9" t="str">
        <f t="shared" si="8"/>
        <v>O2MT-C2MT</v>
      </c>
      <c r="AB9" t="s">
        <v>254</v>
      </c>
      <c r="AC9" s="7">
        <v>7</v>
      </c>
      <c r="AD9" s="7">
        <f>AD8</f>
        <v>268</v>
      </c>
      <c r="AE9" s="7">
        <f>AE8</f>
        <v>1.5289999999999999</v>
      </c>
      <c r="AF9" s="7" t="s">
        <v>68</v>
      </c>
      <c r="AG9" s="7" t="s">
        <v>121</v>
      </c>
      <c r="AH9" s="7" t="str">
        <f>"Same as "&amp;AG8</f>
        <v>Same as C1MT-C1MT</v>
      </c>
      <c r="AM9">
        <f t="shared" si="12"/>
        <v>7</v>
      </c>
      <c r="AN9">
        <f>CO32M_LMP_GMX_UniqueMap!AU4</f>
        <v>118.18</v>
      </c>
      <c r="AO9">
        <f>CO32M_LMP_GMX_UniqueMap!AV4</f>
        <v>584.923</v>
      </c>
      <c r="AP9" t="str">
        <f>CO32M_LMP_GMX_UniqueMap!AW4</f>
        <v>O2C</v>
      </c>
      <c r="AQ9" t="str">
        <f>CO32M_LMP_GMX_UniqueMap!AX4</f>
        <v>C1C</v>
      </c>
      <c r="AR9" t="str">
        <f>CO32M_LMP_GMX_UniqueMap!AY4</f>
        <v>O2C</v>
      </c>
      <c r="AS9" t="str">
        <f t="shared" si="9"/>
        <v>O2C-C1C-O2C</v>
      </c>
      <c r="AU9" t="s">
        <v>257</v>
      </c>
      <c r="AV9">
        <v>7</v>
      </c>
      <c r="AW9" cm="1">
        <f t="array" ref="AW9">_xlfn.XLOOKUP(AZ9,$AS$3:$AS$37,ROUND(0.119502868*$AO$3:$AO$37,3))</f>
        <v>69.900000000000006</v>
      </c>
      <c r="AX9" cm="1">
        <f t="array" ref="AX9">_xlfn.XLOOKUP(AZ9,$AS$3:$AS$37,ROUND($AN$3:$AN$37,3))</f>
        <v>118.18</v>
      </c>
      <c r="AY9" t="s">
        <v>68</v>
      </c>
      <c r="AZ9" t="s">
        <v>138</v>
      </c>
      <c r="BE9">
        <f t="shared" si="13"/>
        <v>7</v>
      </c>
      <c r="BF9">
        <f>MTFSI_LMP_GMX_UniqueMap!BV4</f>
        <v>-15.611000000000001</v>
      </c>
      <c r="BG9">
        <f>MTFSI_LMP_GMX_UniqueMap!BW4</f>
        <v>0.70299999999999996</v>
      </c>
      <c r="BH9">
        <f>MTFSI_LMP_GMX_UniqueMap!BX4</f>
        <v>20.506</v>
      </c>
      <c r="BI9">
        <f>MTFSI_LMP_GMX_UniqueMap!BY4</f>
        <v>-5.5979999999999999</v>
      </c>
      <c r="BJ9">
        <f>MTFSI_LMP_GMX_UniqueMap!BZ4</f>
        <v>0</v>
      </c>
      <c r="BK9">
        <f>MTFSI_LMP_GMX_UniqueMap!CA4</f>
        <v>0</v>
      </c>
      <c r="BL9">
        <f t="shared" si="10"/>
        <v>-8.8817841970012523E-16</v>
      </c>
      <c r="BM9" t="str">
        <f>MTFSI_LMP_GMX_UniqueMap!CB4&amp;"-"&amp;MTFSI_LMP_GMX_UniqueMap!CC4&amp;"-"&amp;MTFSI_LMP_GMX_UniqueMap!CD4&amp;"-"&amp;MTFSI_LMP_GMX_UniqueMap!CE4</f>
        <v>C1MT-SMT-NMT-SMT</v>
      </c>
      <c r="BP9" t="s">
        <v>261</v>
      </c>
      <c r="BQ9">
        <v>7</v>
      </c>
      <c r="BR9" s="7">
        <f>BR62</f>
        <v>1.3</v>
      </c>
      <c r="BS9" s="7">
        <f t="shared" ref="BS9:BU9" si="15">BS62</f>
        <v>-0.2</v>
      </c>
      <c r="BT9" s="7">
        <f t="shared" si="15"/>
        <v>0.2</v>
      </c>
      <c r="BU9" s="7">
        <f t="shared" si="15"/>
        <v>0</v>
      </c>
      <c r="BV9" s="7" t="s">
        <v>68</v>
      </c>
      <c r="BW9" s="7" t="s">
        <v>183</v>
      </c>
      <c r="BX9" s="7" t="s">
        <v>241</v>
      </c>
    </row>
    <row r="10" spans="1:76" x14ac:dyDescent="0.25">
      <c r="B10">
        <f t="shared" si="1"/>
        <v>8</v>
      </c>
      <c r="C10" t="str">
        <f>CO32M_LMP_GMX_UniqueMap!N5</f>
        <v>O2C</v>
      </c>
      <c r="D10">
        <f>CO32M_LMP_GMX_UniqueMap!M5</f>
        <v>15.999000000000001</v>
      </c>
      <c r="E10" s="14">
        <f t="shared" si="0"/>
        <v>8</v>
      </c>
      <c r="F10" s="14">
        <f>CO32M_LMP_GMX_UniqueMap!J5</f>
        <v>0.17</v>
      </c>
      <c r="G10" s="14">
        <f>CO32M_LMP_GMX_UniqueMap!K5</f>
        <v>3.12</v>
      </c>
      <c r="H10" s="14" t="s">
        <v>68</v>
      </c>
      <c r="I10" s="14" t="s">
        <v>74</v>
      </c>
      <c r="K10" t="s">
        <v>262</v>
      </c>
      <c r="L10">
        <f t="shared" si="2"/>
        <v>8</v>
      </c>
      <c r="M10" s="9">
        <f t="shared" si="3"/>
        <v>8</v>
      </c>
      <c r="N10">
        <f t="shared" si="4"/>
        <v>0.17</v>
      </c>
      <c r="O10">
        <f t="shared" si="5"/>
        <v>3.12</v>
      </c>
      <c r="P10" s="10">
        <f t="shared" si="6"/>
        <v>7.8000000000000007</v>
      </c>
      <c r="Q10" t="str">
        <f t="shared" si="7"/>
        <v># O2-COI/SEI</v>
      </c>
      <c r="U10">
        <f t="shared" si="11"/>
        <v>8</v>
      </c>
      <c r="V10">
        <f>MTFSI_LMP_GMX_UniqueMap!AB5</f>
        <v>0.13270000000000001</v>
      </c>
      <c r="W10">
        <f>MTFSI_LMP_GMX_UniqueMap!AC5</f>
        <v>179075.20000000001</v>
      </c>
      <c r="X10" t="str">
        <f>MTFSI_LMP_GMX_UniqueMap!AD5</f>
        <v>O1MT</v>
      </c>
      <c r="Y10" t="str">
        <f>MTFSI_LMP_GMX_UniqueMap!AE5</f>
        <v>C2MT</v>
      </c>
      <c r="Z10" t="str">
        <f t="shared" si="8"/>
        <v>O1MT-C2MT</v>
      </c>
      <c r="AB10" t="s">
        <v>254</v>
      </c>
      <c r="AC10">
        <v>8</v>
      </c>
      <c r="AD10" cm="1">
        <f t="array" ref="AD10">_xlfn.XLOOKUP(AG10,$Z$3:$Z$22,ROUND(0.00119502868*$W$3:$W$22,2))</f>
        <v>317</v>
      </c>
      <c r="AE10" cm="1">
        <f t="array" ref="AE10">_xlfn.XLOOKUP(AG10,$Z$3:$Z$22,ROUND(10*$V$3:$V$22,4))</f>
        <v>1.522</v>
      </c>
      <c r="AF10" t="s">
        <v>68</v>
      </c>
      <c r="AG10" t="s">
        <v>122</v>
      </c>
      <c r="AM10">
        <f t="shared" si="12"/>
        <v>8</v>
      </c>
      <c r="AN10">
        <f>MTFSI_LMP_GMX_UniqueMap!AU3</f>
        <v>104.36</v>
      </c>
      <c r="AO10">
        <f>MTFSI_LMP_GMX_UniqueMap!AV3</f>
        <v>658.31100000000004</v>
      </c>
      <c r="AP10" t="str">
        <f>MTFSI_LMP_GMX_UniqueMap!AW3</f>
        <v>C1MT</v>
      </c>
      <c r="AQ10" t="str">
        <f>MTFSI_LMP_GMX_UniqueMap!AX3</f>
        <v>SMT</v>
      </c>
      <c r="AR10" t="str">
        <f>MTFSI_LMP_GMX_UniqueMap!AY3</f>
        <v>NMT</v>
      </c>
      <c r="AS10" t="str">
        <f t="shared" si="9"/>
        <v>C1MT-SMT-NMT</v>
      </c>
      <c r="AU10" t="s">
        <v>257</v>
      </c>
      <c r="AV10">
        <v>8</v>
      </c>
      <c r="AW10" cm="1">
        <f t="array" ref="AW10">_xlfn.XLOOKUP(AZ10,$AS$3:$AS$37,ROUND(0.119502868*$AO$3:$AO$37,3))</f>
        <v>58.35</v>
      </c>
      <c r="AX10" cm="1">
        <f t="array" ref="AX10">_xlfn.XLOOKUP(AZ10,$AS$3:$AS$37,ROUND($AN$3:$AN$37,3))</f>
        <v>112.7</v>
      </c>
      <c r="AY10" t="s">
        <v>68</v>
      </c>
      <c r="AZ10" t="s">
        <v>139</v>
      </c>
      <c r="BE10">
        <f t="shared" si="13"/>
        <v>8</v>
      </c>
      <c r="BF10">
        <f>MTFSI_LMP_GMX_UniqueMap!BV5</f>
        <v>0.628</v>
      </c>
      <c r="BG10">
        <f>MTFSI_LMP_GMX_UniqueMap!BW5</f>
        <v>1.883</v>
      </c>
      <c r="BH10">
        <f>MTFSI_LMP_GMX_UniqueMap!BX5</f>
        <v>0</v>
      </c>
      <c r="BI10">
        <f>MTFSI_LMP_GMX_UniqueMap!BY5</f>
        <v>-2.5099999999999998</v>
      </c>
      <c r="BJ10">
        <f>MTFSI_LMP_GMX_UniqueMap!BZ5</f>
        <v>0</v>
      </c>
      <c r="BK10">
        <f>MTFSI_LMP_GMX_UniqueMap!CA5</f>
        <v>0</v>
      </c>
      <c r="BL10">
        <f t="shared" si="10"/>
        <v>1.000000000000334E-3</v>
      </c>
      <c r="BM10" t="str">
        <f>MTFSI_LMP_GMX_UniqueMap!CB5&amp;"-"&amp;MTFSI_LMP_GMX_UniqueMap!CC5&amp;"-"&amp;MTFSI_LMP_GMX_UniqueMap!CD5&amp;"-"&amp;MTFSI_LMP_GMX_UniqueMap!CE5</f>
        <v>C1MT-C1MT-C1MT-HMT</v>
      </c>
      <c r="BP10" t="s">
        <v>261</v>
      </c>
      <c r="BQ10">
        <v>8</v>
      </c>
      <c r="BR10" s="7">
        <f>BR63</f>
        <v>-2.06</v>
      </c>
      <c r="BS10" s="7">
        <f t="shared" ref="BS10:BU10" si="16">BS63</f>
        <v>-0.313</v>
      </c>
      <c r="BT10" s="7">
        <f t="shared" si="16"/>
        <v>0.315</v>
      </c>
      <c r="BU10" s="7">
        <f t="shared" si="16"/>
        <v>0</v>
      </c>
      <c r="BV10" s="7" t="s">
        <v>68</v>
      </c>
      <c r="BW10" s="7" t="s">
        <v>223</v>
      </c>
      <c r="BX10" s="7" t="s">
        <v>242</v>
      </c>
    </row>
    <row r="11" spans="1:76" x14ac:dyDescent="0.25">
      <c r="B11">
        <f t="shared" si="1"/>
        <v>9</v>
      </c>
      <c r="C11" t="str">
        <f>MTFSI_LMP_GMX_UniqueMap!N5</f>
        <v>C1MT</v>
      </c>
      <c r="D11">
        <f>MTFSI_LMP_GMX_UniqueMap!M5</f>
        <v>12.010999999999999</v>
      </c>
      <c r="E11" s="15">
        <f t="shared" si="0"/>
        <v>9</v>
      </c>
      <c r="F11" s="15">
        <f>MTFSI_LMP_GMX_UniqueMap!J5</f>
        <v>6.6000000000000003E-2</v>
      </c>
      <c r="G11" s="15">
        <f>MTFSI_LMP_GMX_UniqueMap!K5</f>
        <v>3.5</v>
      </c>
      <c r="H11" s="15" t="s">
        <v>68</v>
      </c>
      <c r="I11" s="15" t="s">
        <v>75</v>
      </c>
      <c r="K11" t="s">
        <v>262</v>
      </c>
      <c r="L11">
        <f t="shared" si="2"/>
        <v>9</v>
      </c>
      <c r="M11" s="9">
        <f t="shared" si="3"/>
        <v>9</v>
      </c>
      <c r="N11">
        <f t="shared" si="4"/>
        <v>6.6000000000000003E-2</v>
      </c>
      <c r="O11">
        <f t="shared" si="5"/>
        <v>3.5</v>
      </c>
      <c r="P11" s="10">
        <f t="shared" si="6"/>
        <v>8.75</v>
      </c>
      <c r="Q11" t="str">
        <f t="shared" si="7"/>
        <v># C1-MT/Bulk</v>
      </c>
      <c r="U11">
        <f t="shared" si="11"/>
        <v>9</v>
      </c>
      <c r="V11">
        <f>MTFSI_LMP_GMX_UniqueMap!AB6</f>
        <v>0.13600000000000001</v>
      </c>
      <c r="W11">
        <f>MTFSI_LMP_GMX_UniqueMap!AC6</f>
        <v>307105.59999999998</v>
      </c>
      <c r="X11" t="str">
        <f>MTFSI_LMP_GMX_UniqueMap!AD6</f>
        <v>FMT</v>
      </c>
      <c r="Y11" t="str">
        <f>MTFSI_LMP_GMX_UniqueMap!AE6</f>
        <v>C1MT</v>
      </c>
      <c r="Z11" t="str">
        <f t="shared" si="8"/>
        <v>FMT-C1MT</v>
      </c>
      <c r="AB11" t="s">
        <v>254</v>
      </c>
      <c r="AC11">
        <v>9</v>
      </c>
      <c r="AD11" cm="1">
        <f t="array" ref="AD11">_xlfn.XLOOKUP(AG11,$Z$3:$Z$22,ROUND(0.00119502868*$W$3:$W$22,2))</f>
        <v>367</v>
      </c>
      <c r="AE11" cm="1">
        <f t="array" ref="AE11">_xlfn.XLOOKUP(AG11,$Z$3:$Z$22,ROUND(10*$V$3:$V$22,4))</f>
        <v>1.36</v>
      </c>
      <c r="AF11" t="s">
        <v>68</v>
      </c>
      <c r="AG11" t="s">
        <v>123</v>
      </c>
      <c r="AM11">
        <f t="shared" si="12"/>
        <v>9</v>
      </c>
      <c r="AN11">
        <f>MTFSI_LMP_GMX_UniqueMap!AU4</f>
        <v>104.36</v>
      </c>
      <c r="AO11">
        <f>MTFSI_LMP_GMX_UniqueMap!AV4</f>
        <v>658.31100000000004</v>
      </c>
      <c r="AP11" t="str">
        <f>MTFSI_LMP_GMX_UniqueMap!AW4</f>
        <v>NMT</v>
      </c>
      <c r="AQ11" t="str">
        <f>MTFSI_LMP_GMX_UniqueMap!AX4</f>
        <v>SMT</v>
      </c>
      <c r="AR11" t="str">
        <f>MTFSI_LMP_GMX_UniqueMap!AY4</f>
        <v>O3MT</v>
      </c>
      <c r="AS11" t="str">
        <f t="shared" si="9"/>
        <v>NMT-SMT-O3MT</v>
      </c>
      <c r="AU11" t="s">
        <v>257</v>
      </c>
      <c r="AV11">
        <v>9</v>
      </c>
      <c r="AW11" s="7">
        <f>AW10</f>
        <v>58.35</v>
      </c>
      <c r="AX11" s="7">
        <f>AX10</f>
        <v>112.7</v>
      </c>
      <c r="AY11" s="7" t="s">
        <v>68</v>
      </c>
      <c r="AZ11" s="7" t="s">
        <v>140</v>
      </c>
      <c r="BA11" s="7" t="s">
        <v>173</v>
      </c>
      <c r="BE11">
        <f t="shared" si="13"/>
        <v>9</v>
      </c>
      <c r="BF11">
        <f>MTFSI_LMP_GMX_UniqueMap!BV6</f>
        <v>2.8740000000000001</v>
      </c>
      <c r="BG11">
        <f>MTFSI_LMP_GMX_UniqueMap!BW6</f>
        <v>0.58199999999999996</v>
      </c>
      <c r="BH11">
        <f>MTFSI_LMP_GMX_UniqueMap!BX6</f>
        <v>2.0920000000000001</v>
      </c>
      <c r="BI11">
        <f>MTFSI_LMP_GMX_UniqueMap!BY6</f>
        <v>-5.548</v>
      </c>
      <c r="BJ11">
        <f>MTFSI_LMP_GMX_UniqueMap!BZ6</f>
        <v>0</v>
      </c>
      <c r="BK11">
        <f>MTFSI_LMP_GMX_UniqueMap!CA6</f>
        <v>0</v>
      </c>
      <c r="BL11">
        <f t="shared" si="10"/>
        <v>0</v>
      </c>
      <c r="BM11" t="str">
        <f>MTFSI_LMP_GMX_UniqueMap!CB6&amp;"-"&amp;MTFSI_LMP_GMX_UniqueMap!CC6&amp;"-"&amp;MTFSI_LMP_GMX_UniqueMap!CD6&amp;"-"&amp;MTFSI_LMP_GMX_UniqueMap!CE6</f>
        <v>C1MT-C1MT-C1MT-O1MT</v>
      </c>
      <c r="BP11" t="s">
        <v>261</v>
      </c>
      <c r="BQ11">
        <v>9</v>
      </c>
      <c r="BR11" cm="1">
        <f t="array" ref="BR11">ROUND(0.239005736*(-2*_xlfn.XLOOKUP(BW11,$BM$3:$BM$54,ROUND($BG$3:$BG$54,5)) - 1.5*_xlfn.XLOOKUP(BW11,$BM$3:$BM$54,ROUND($BI$3:$BI$54,5))),3)</f>
        <v>0</v>
      </c>
      <c r="BS11" cm="1">
        <f t="array" ref="BS11">ROUND(0.239005736*(_xlfn.XLOOKUP(BW11,$BM$3:$BM$54,ROUND($BF$3:$BF$54,5)) + _xlfn.XLOOKUP(BW11,$BM$3:$BM$54,ROUND($BG$3:$BG$54,5)) + _xlfn.XLOOKUP(BW11,$BM$3:$BM$54,ROUND($BI$3:$BI$54,5))),3)</f>
        <v>0</v>
      </c>
      <c r="BT11" cm="1">
        <f t="array" ref="BT11">ROUND(0.239005736*(-0.5*_xlfn.XLOOKUP(BW11,$BM$3:$BM$54,ROUND($BI$3:$BI$54,5))),3)</f>
        <v>0.3</v>
      </c>
      <c r="BU11" cm="1">
        <f t="array" ref="BU11">ROUND(0.239005736*(-0.25*_xlfn.XLOOKUP(BW11,$BM$3:$BM$54,ROUND($BJ$3:$BJ$54,5))),3)</f>
        <v>0</v>
      </c>
      <c r="BV11" t="s">
        <v>68</v>
      </c>
      <c r="BW11" t="s">
        <v>184</v>
      </c>
    </row>
    <row r="12" spans="1:76" x14ac:dyDescent="0.25">
      <c r="B12">
        <v>10</v>
      </c>
      <c r="C12" t="str">
        <f>VEC_LMP_GMX_UniqueMap!N6</f>
        <v>C1V</v>
      </c>
      <c r="D12">
        <f>VEC_LMP_GMX_UniqueMap!M6</f>
        <v>12.010999999999999</v>
      </c>
      <c r="E12" s="15">
        <f t="shared" si="0"/>
        <v>10</v>
      </c>
      <c r="F12" s="15">
        <f>VEC_LMP_GMX_UniqueMap!J6</f>
        <v>6.6000000000000003E-2</v>
      </c>
      <c r="G12" s="15">
        <f>VEC_LMP_GMX_UniqueMap!K6</f>
        <v>3.5</v>
      </c>
      <c r="H12" s="15" t="s">
        <v>68</v>
      </c>
      <c r="I12" s="15" t="s">
        <v>76</v>
      </c>
      <c r="K12" t="s">
        <v>262</v>
      </c>
      <c r="L12">
        <f t="shared" si="2"/>
        <v>10</v>
      </c>
      <c r="M12" s="9">
        <f t="shared" si="3"/>
        <v>10</v>
      </c>
      <c r="N12">
        <f t="shared" si="4"/>
        <v>6.6000000000000003E-2</v>
      </c>
      <c r="O12">
        <f t="shared" si="5"/>
        <v>3.5</v>
      </c>
      <c r="P12" s="10">
        <f t="shared" si="6"/>
        <v>8.75</v>
      </c>
      <c r="Q12" t="str">
        <f t="shared" si="7"/>
        <v># C1-VEC/Bulk</v>
      </c>
      <c r="U12">
        <f t="shared" si="11"/>
        <v>10</v>
      </c>
      <c r="V12">
        <f>MTFSI_LMP_GMX_UniqueMap!AB7</f>
        <v>0.14099999999999999</v>
      </c>
      <c r="W12">
        <f>MTFSI_LMP_GMX_UniqueMap!AC7</f>
        <v>267776</v>
      </c>
      <c r="X12" t="str">
        <f>MTFSI_LMP_GMX_UniqueMap!AD7</f>
        <v>C1MT</v>
      </c>
      <c r="Y12" t="str">
        <f>MTFSI_LMP_GMX_UniqueMap!AE7</f>
        <v>O1MT</v>
      </c>
      <c r="Z12" t="str">
        <f t="shared" si="8"/>
        <v>C1MT-O1MT</v>
      </c>
      <c r="AB12" t="s">
        <v>254</v>
      </c>
      <c r="AC12" s="16">
        <v>10</v>
      </c>
      <c r="AD12" s="16" cm="1">
        <f t="array" ref="AD12">_xlfn.XLOOKUP(AG12,$Z$3:$Z$22,ROUND(0.00119502868*$W$3:$W$22,2))</f>
        <v>340</v>
      </c>
      <c r="AE12" s="16" cm="1">
        <f t="array" ref="AE12">_xlfn.XLOOKUP(AG12,$Z$3:$Z$22,ROUND(10*$V$3:$V$22,4))</f>
        <v>1.0900000000000001</v>
      </c>
      <c r="AF12" s="16" t="s">
        <v>68</v>
      </c>
      <c r="AG12" s="16" t="s">
        <v>107</v>
      </c>
      <c r="AM12">
        <f t="shared" si="12"/>
        <v>10</v>
      </c>
      <c r="AN12">
        <f>MTFSI_LMP_GMX_UniqueMap!AU5</f>
        <v>107.8</v>
      </c>
      <c r="AO12">
        <f>MTFSI_LMP_GMX_UniqueMap!AV5</f>
        <v>276.14400000000001</v>
      </c>
      <c r="AP12" t="str">
        <f>MTFSI_LMP_GMX_UniqueMap!AW5</f>
        <v>HMT</v>
      </c>
      <c r="AQ12" t="str">
        <f>MTFSI_LMP_GMX_UniqueMap!AX5</f>
        <v>C1MT</v>
      </c>
      <c r="AR12" t="str">
        <f>MTFSI_LMP_GMX_UniqueMap!AY5</f>
        <v>HMT</v>
      </c>
      <c r="AS12" t="str">
        <f t="shared" si="9"/>
        <v>HMT-C1MT-HMT</v>
      </c>
      <c r="AU12" t="s">
        <v>257</v>
      </c>
      <c r="AV12">
        <v>10</v>
      </c>
      <c r="AW12" cm="1">
        <f t="array" ref="AW12">_xlfn.XLOOKUP(AZ12,$AS$3:$AS$37,ROUND(0.119502868*$AO$3:$AO$37,3))</f>
        <v>63</v>
      </c>
      <c r="AX12" cm="1">
        <f t="array" ref="AX12">_xlfn.XLOOKUP(AZ12,$AS$3:$AS$37,ROUND($AN$3:$AN$37,3))</f>
        <v>111.1</v>
      </c>
      <c r="AY12" t="s">
        <v>68</v>
      </c>
      <c r="AZ12" t="s">
        <v>141</v>
      </c>
      <c r="BE12">
        <f t="shared" si="13"/>
        <v>10</v>
      </c>
      <c r="BF12">
        <f>MTFSI_LMP_GMX_UniqueMap!BV7</f>
        <v>-2.1970000000000001</v>
      </c>
      <c r="BG12">
        <f>MTFSI_LMP_GMX_UniqueMap!BW7</f>
        <v>5.2009999999999996</v>
      </c>
      <c r="BH12">
        <f>MTFSI_LMP_GMX_UniqueMap!BX7</f>
        <v>0.52700000000000002</v>
      </c>
      <c r="BI12">
        <f>MTFSI_LMP_GMX_UniqueMap!BY7</f>
        <v>-3.5310000000000001</v>
      </c>
      <c r="BJ12">
        <f>MTFSI_LMP_GMX_UniqueMap!BZ7</f>
        <v>0</v>
      </c>
      <c r="BK12">
        <f>MTFSI_LMP_GMX_UniqueMap!CA7</f>
        <v>0</v>
      </c>
      <c r="BL12">
        <f t="shared" si="10"/>
        <v>-4.4408920985006262E-16</v>
      </c>
      <c r="BM12" t="str">
        <f>MTFSI_LMP_GMX_UniqueMap!CB7&amp;"-"&amp;MTFSI_LMP_GMX_UniqueMap!CC7&amp;"-"&amp;MTFSI_LMP_GMX_UniqueMap!CD7&amp;"-"&amp;MTFSI_LMP_GMX_UniqueMap!CE7</f>
        <v>C1MT-C1MT-O1MT-C2MT</v>
      </c>
      <c r="BP12" t="s">
        <v>261</v>
      </c>
      <c r="BQ12">
        <v>10</v>
      </c>
      <c r="BR12" cm="1">
        <f t="array" ref="BR12">ROUND(0.239005736*(-2*_xlfn.XLOOKUP(BW12,$BM$3:$BM$54,ROUND($BG$3:$BG$54,5)) - 1.5*_xlfn.XLOOKUP(BW12,$BM$3:$BM$54,ROUND($BI$3:$BI$54,5))),3)</f>
        <v>1.7110000000000001</v>
      </c>
      <c r="BS12" cm="1">
        <f t="array" ref="BS12">ROUND(0.239005736*(_xlfn.XLOOKUP(BW12,$BM$3:$BM$54,ROUND($BF$3:$BF$54,5)) + _xlfn.XLOOKUP(BW12,$BM$3:$BM$54,ROUND($BG$3:$BG$54,5)) + _xlfn.XLOOKUP(BW12,$BM$3:$BM$54,ROUND($BI$3:$BI$54,5))),3)</f>
        <v>-0.5</v>
      </c>
      <c r="BT12" cm="1">
        <f t="array" ref="BT12">ROUND(0.239005736*(-0.5*_xlfn.XLOOKUP(BW12,$BM$3:$BM$54,ROUND($BI$3:$BI$54,5))),3)</f>
        <v>0.66300000000000003</v>
      </c>
      <c r="BU12" cm="1">
        <f t="array" ref="BU12">ROUND(0.239005736*(-0.25*_xlfn.XLOOKUP(BW12,$BM$3:$BM$54,ROUND($BJ$3:$BJ$54,5))),3)</f>
        <v>0</v>
      </c>
      <c r="BV12" t="s">
        <v>68</v>
      </c>
      <c r="BW12" t="s">
        <v>185</v>
      </c>
    </row>
    <row r="13" spans="1:76" x14ac:dyDescent="0.25">
      <c r="B13">
        <v>11</v>
      </c>
      <c r="C13" t="str">
        <f>MTFSI_LMP_GMX_UniqueMap!N6</f>
        <v>C2MT</v>
      </c>
      <c r="D13">
        <f>MTFSI_LMP_GMX_UniqueMap!M6</f>
        <v>12.010999999999999</v>
      </c>
      <c r="E13" s="15">
        <f t="shared" si="0"/>
        <v>11</v>
      </c>
      <c r="F13" s="15">
        <f>MTFSI_LMP_GMX_UniqueMap!J6</f>
        <v>7.0000000000000007E-2</v>
      </c>
      <c r="G13" s="15">
        <f>MTFSI_LMP_GMX_UniqueMap!K6</f>
        <v>3.55</v>
      </c>
      <c r="H13" s="15" t="s">
        <v>68</v>
      </c>
      <c r="I13" s="15" t="s">
        <v>77</v>
      </c>
      <c r="K13" t="s">
        <v>262</v>
      </c>
      <c r="L13">
        <f t="shared" si="2"/>
        <v>11</v>
      </c>
      <c r="M13" s="9">
        <f t="shared" si="3"/>
        <v>11</v>
      </c>
      <c r="N13">
        <f t="shared" si="4"/>
        <v>7.0000000000000007E-2</v>
      </c>
      <c r="O13">
        <f t="shared" si="5"/>
        <v>3.55</v>
      </c>
      <c r="P13" s="10">
        <f t="shared" si="6"/>
        <v>8.875</v>
      </c>
      <c r="Q13" t="str">
        <f t="shared" si="7"/>
        <v># C2-MT/Bulk</v>
      </c>
      <c r="U13">
        <f t="shared" si="11"/>
        <v>11</v>
      </c>
      <c r="V13">
        <f>MTFSI_LMP_GMX_UniqueMap!AB8</f>
        <v>0.14399999999999999</v>
      </c>
      <c r="W13">
        <f>MTFSI_LMP_GMX_UniqueMap!AC8</f>
        <v>585760</v>
      </c>
      <c r="X13" t="str">
        <f>MTFSI_LMP_GMX_UniqueMap!AD8</f>
        <v>O3MT</v>
      </c>
      <c r="Y13" t="str">
        <f>MTFSI_LMP_GMX_UniqueMap!AE8</f>
        <v>SMT</v>
      </c>
      <c r="Z13" t="str">
        <f t="shared" si="8"/>
        <v>O3MT-SMT</v>
      </c>
      <c r="AB13" t="s">
        <v>254</v>
      </c>
      <c r="AC13">
        <v>11</v>
      </c>
      <c r="AD13" cm="1">
        <f t="array" ref="AD13">_xlfn.XLOOKUP(AG13,$Z$3:$Z$22,ROUND(0.00119502868*$W$3:$W$22,2))</f>
        <v>320</v>
      </c>
      <c r="AE13" cm="1">
        <f t="array" ref="AE13">_xlfn.XLOOKUP(AG13,$Z$3:$Z$22,ROUND(10*$V$3:$V$22,4))</f>
        <v>1.41</v>
      </c>
      <c r="AF13" t="s">
        <v>68</v>
      </c>
      <c r="AG13" t="s">
        <v>108</v>
      </c>
      <c r="AM13">
        <f t="shared" si="12"/>
        <v>11</v>
      </c>
      <c r="AN13">
        <f>MTFSI_LMP_GMX_UniqueMap!AU6</f>
        <v>108.6</v>
      </c>
      <c r="AO13">
        <f>MTFSI_LMP_GMX_UniqueMap!AV6</f>
        <v>418.4</v>
      </c>
      <c r="AP13" t="str">
        <f>MTFSI_LMP_GMX_UniqueMap!AW6</f>
        <v>C1MT</v>
      </c>
      <c r="AQ13" t="str">
        <f>MTFSI_LMP_GMX_UniqueMap!AX6</f>
        <v>C1MT</v>
      </c>
      <c r="AR13" t="str">
        <f>MTFSI_LMP_GMX_UniqueMap!AY6</f>
        <v>SMT</v>
      </c>
      <c r="AS13" t="str">
        <f t="shared" si="9"/>
        <v>C1MT-C1MT-SMT</v>
      </c>
      <c r="AU13" t="s">
        <v>257</v>
      </c>
      <c r="AV13" s="16">
        <v>11</v>
      </c>
      <c r="AW13" s="16" cm="1">
        <f t="array" ref="AW13">_xlfn.XLOOKUP(AZ13,$AS$3:$AS$37,ROUND(0.119502868*$AO$3:$AO$37,3))</f>
        <v>37.5</v>
      </c>
      <c r="AX13" s="16" cm="1">
        <f t="array" ref="AX13">_xlfn.XLOOKUP(AZ13,$AS$3:$AS$37,ROUND($AN$3:$AN$37,3))</f>
        <v>110.7</v>
      </c>
      <c r="AY13" s="16" t="s">
        <v>68</v>
      </c>
      <c r="AZ13" s="16" t="s">
        <v>165</v>
      </c>
      <c r="BE13">
        <f t="shared" si="13"/>
        <v>11</v>
      </c>
      <c r="BF13">
        <f>MTFSI_LMP_GMX_UniqueMap!BV8</f>
        <v>31.206</v>
      </c>
      <c r="BG13">
        <f>MTFSI_LMP_GMX_UniqueMap!BW8</f>
        <v>-9.7680000000000007</v>
      </c>
      <c r="BH13">
        <f>MTFSI_LMP_GMX_UniqueMap!BX8</f>
        <v>-21.439</v>
      </c>
      <c r="BI13">
        <f>MTFSI_LMP_GMX_UniqueMap!BY8</f>
        <v>0</v>
      </c>
      <c r="BJ13">
        <f>MTFSI_LMP_GMX_UniqueMap!BZ8</f>
        <v>0</v>
      </c>
      <c r="BK13">
        <f>MTFSI_LMP_GMX_UniqueMap!CA8</f>
        <v>0</v>
      </c>
      <c r="BL13">
        <f t="shared" si="10"/>
        <v>-1.0000000000012221E-3</v>
      </c>
      <c r="BM13" t="str">
        <f>MTFSI_LMP_GMX_UniqueMap!CB8&amp;"-"&amp;MTFSI_LMP_GMX_UniqueMap!CC8&amp;"-"&amp;MTFSI_LMP_GMX_UniqueMap!CD8&amp;"-"&amp;MTFSI_LMP_GMX_UniqueMap!CE8</f>
        <v>C1MT-O1MT-C2MT-C1MT</v>
      </c>
      <c r="BP13" t="s">
        <v>261</v>
      </c>
      <c r="BQ13">
        <v>11</v>
      </c>
      <c r="BR13" cm="1">
        <f t="array" ref="BR13">ROUND(0.239005736*(-2*_xlfn.XLOOKUP(BW13,$BM$3:$BM$54,ROUND($BG$3:$BG$54,5)) - 1.5*_xlfn.XLOOKUP(BW13,$BM$3:$BM$54,ROUND($BI$3:$BI$54,5))),3)</f>
        <v>1.262</v>
      </c>
      <c r="BS13" cm="1">
        <f t="array" ref="BS13">ROUND(0.239005736*(_xlfn.XLOOKUP(BW13,$BM$3:$BM$54,ROUND($BF$3:$BF$54,5)) + _xlfn.XLOOKUP(BW13,$BM$3:$BM$54,ROUND($BG$3:$BG$54,5)) + _xlfn.XLOOKUP(BW13,$BM$3:$BM$54,ROUND($BI$3:$BI$54,5))),3)</f>
        <v>-0.19800000000000001</v>
      </c>
      <c r="BT13" cm="1">
        <f t="array" ref="BT13">ROUND(0.239005736*(-0.5*_xlfn.XLOOKUP(BW13,$BM$3:$BM$54,ROUND($BI$3:$BI$54,5))),3)</f>
        <v>0.46500000000000002</v>
      </c>
      <c r="BU13" cm="1">
        <f t="array" ref="BU13">ROUND(0.239005736*(-0.25*_xlfn.XLOOKUP(BW13,$BM$3:$BM$54,ROUND($BJ$3:$BJ$54,5))),3)</f>
        <v>0</v>
      </c>
      <c r="BV13" t="s">
        <v>68</v>
      </c>
      <c r="BW13" t="s">
        <v>224</v>
      </c>
    </row>
    <row r="14" spans="1:76" x14ac:dyDescent="0.25">
      <c r="B14">
        <v>12</v>
      </c>
      <c r="C14" t="str">
        <f>VEC_LMP_GMX_UniqueMap!N7</f>
        <v>C2V</v>
      </c>
      <c r="D14">
        <f>VEC_LMP_GMX_UniqueMap!M7</f>
        <v>12.010999999999999</v>
      </c>
      <c r="E14" s="15">
        <f t="shared" si="0"/>
        <v>12</v>
      </c>
      <c r="F14" s="15">
        <f>VEC_LMP_GMX_UniqueMap!J7</f>
        <v>7.0000000000000007E-2</v>
      </c>
      <c r="G14" s="15">
        <f>VEC_LMP_GMX_UniqueMap!K7</f>
        <v>3.55</v>
      </c>
      <c r="H14" s="15" t="s">
        <v>68</v>
      </c>
      <c r="I14" s="15" t="s">
        <v>78</v>
      </c>
      <c r="K14" t="s">
        <v>262</v>
      </c>
      <c r="L14">
        <f t="shared" si="2"/>
        <v>12</v>
      </c>
      <c r="M14" s="9">
        <f t="shared" si="3"/>
        <v>12</v>
      </c>
      <c r="N14">
        <f t="shared" si="4"/>
        <v>7.0000000000000007E-2</v>
      </c>
      <c r="O14">
        <f t="shared" si="5"/>
        <v>3.55</v>
      </c>
      <c r="P14" s="10">
        <f t="shared" si="6"/>
        <v>8.875</v>
      </c>
      <c r="Q14" t="str">
        <f t="shared" si="7"/>
        <v># C2-VEC/Bulk</v>
      </c>
      <c r="U14">
        <f t="shared" si="11"/>
        <v>12</v>
      </c>
      <c r="V14">
        <f>MTFSI_LMP_GMX_UniqueMap!AB9</f>
        <v>0.1522</v>
      </c>
      <c r="W14">
        <f>MTFSI_LMP_GMX_UniqueMap!AC9</f>
        <v>265265.59999999998</v>
      </c>
      <c r="X14" t="str">
        <f>MTFSI_LMP_GMX_UniqueMap!AD9</f>
        <v>C2MT</v>
      </c>
      <c r="Y14" t="str">
        <f>MTFSI_LMP_GMX_UniqueMap!AE9</f>
        <v>C1MT</v>
      </c>
      <c r="Z14" t="str">
        <f t="shared" si="8"/>
        <v>C2MT-C1MT</v>
      </c>
      <c r="AB14" t="s">
        <v>254</v>
      </c>
      <c r="AC14">
        <v>12</v>
      </c>
      <c r="AD14" cm="1">
        <f t="array" ref="AD14">_xlfn.XLOOKUP(AG14,$Z$3:$Z$22,ROUND(0.00119502868*$W$3:$W$22,2))</f>
        <v>340</v>
      </c>
      <c r="AE14" cm="1">
        <f t="array" ref="AE14">_xlfn.XLOOKUP(AG14,$Z$3:$Z$22,ROUND(10*$V$3:$V$22,4))</f>
        <v>1.77</v>
      </c>
      <c r="AF14" t="s">
        <v>68</v>
      </c>
      <c r="AG14" t="s">
        <v>124</v>
      </c>
      <c r="AM14">
        <f t="shared" si="12"/>
        <v>12</v>
      </c>
      <c r="AN14">
        <f>MTFSI_LMP_GMX_UniqueMap!AU7</f>
        <v>108.9</v>
      </c>
      <c r="AO14">
        <f>MTFSI_LMP_GMX_UniqueMap!AV7</f>
        <v>619.23199999999997</v>
      </c>
      <c r="AP14" t="str">
        <f>MTFSI_LMP_GMX_UniqueMap!AW7</f>
        <v>C1MT</v>
      </c>
      <c r="AQ14" t="str">
        <f>MTFSI_LMP_GMX_UniqueMap!AX7</f>
        <v>SMT</v>
      </c>
      <c r="AR14" t="str">
        <f>MTFSI_LMP_GMX_UniqueMap!AY7</f>
        <v>O3MT</v>
      </c>
      <c r="AS14" t="str">
        <f t="shared" si="9"/>
        <v>C1MT-SMT-O3MT</v>
      </c>
      <c r="AU14" t="s">
        <v>257</v>
      </c>
      <c r="AV14">
        <v>12</v>
      </c>
      <c r="AW14" cm="1">
        <f t="array" ref="AW14">_xlfn.XLOOKUP(AZ14,$AS$3:$AS$37,ROUND(0.119502868*$AO$3:$AO$37,3))</f>
        <v>50</v>
      </c>
      <c r="AX14" cm="1">
        <f t="array" ref="AX14">_xlfn.XLOOKUP(AZ14,$AS$3:$AS$37,ROUND($AN$3:$AN$37,3))</f>
        <v>109.5</v>
      </c>
      <c r="AY14" t="s">
        <v>68</v>
      </c>
      <c r="AZ14" t="s">
        <v>166</v>
      </c>
      <c r="BE14">
        <f t="shared" si="13"/>
        <v>12</v>
      </c>
      <c r="BF14">
        <f>MTFSI_LMP_GMX_UniqueMap!BV9</f>
        <v>21.439</v>
      </c>
      <c r="BG14">
        <f>MTFSI_LMP_GMX_UniqueMap!BW9</f>
        <v>0</v>
      </c>
      <c r="BH14">
        <f>MTFSI_LMP_GMX_UniqueMap!BX9</f>
        <v>-21.439</v>
      </c>
      <c r="BI14">
        <f>MTFSI_LMP_GMX_UniqueMap!BY9</f>
        <v>0</v>
      </c>
      <c r="BJ14">
        <f>MTFSI_LMP_GMX_UniqueMap!BZ9</f>
        <v>0</v>
      </c>
      <c r="BK14">
        <f>MTFSI_LMP_GMX_UniqueMap!CA9</f>
        <v>0</v>
      </c>
      <c r="BL14">
        <f t="shared" si="10"/>
        <v>0</v>
      </c>
      <c r="BM14" t="str">
        <f>MTFSI_LMP_GMX_UniqueMap!CB9&amp;"-"&amp;MTFSI_LMP_GMX_UniqueMap!CC9&amp;"-"&amp;MTFSI_LMP_GMX_UniqueMap!CD9&amp;"-"&amp;MTFSI_LMP_GMX_UniqueMap!CE9</f>
        <v>C1MT-O1MT-C2MT-O2MT</v>
      </c>
      <c r="BP14" t="s">
        <v>261</v>
      </c>
      <c r="BQ14">
        <v>12</v>
      </c>
      <c r="BR14" s="7">
        <f>BR62</f>
        <v>1.3</v>
      </c>
      <c r="BS14" s="7">
        <f t="shared" ref="BS14:BU14" si="17">BS62</f>
        <v>-0.2</v>
      </c>
      <c r="BT14" s="7">
        <f t="shared" si="17"/>
        <v>0.2</v>
      </c>
      <c r="BU14" s="7">
        <f t="shared" si="17"/>
        <v>0</v>
      </c>
      <c r="BV14" s="7" t="s">
        <v>68</v>
      </c>
      <c r="BW14" s="7" t="s">
        <v>186</v>
      </c>
      <c r="BX14" s="7" t="s">
        <v>241</v>
      </c>
    </row>
    <row r="15" spans="1:76" x14ac:dyDescent="0.25">
      <c r="B15">
        <v>13</v>
      </c>
      <c r="C15" t="str">
        <f>MTFSI_LMP_GMX_UniqueMap!N4</f>
        <v>FMT</v>
      </c>
      <c r="D15">
        <f>MTFSI_LMP_GMX_UniqueMap!M4</f>
        <v>18.998000000000001</v>
      </c>
      <c r="E15" s="15">
        <f t="shared" si="0"/>
        <v>13</v>
      </c>
      <c r="F15" s="15">
        <f>MTFSI_LMP_GMX_UniqueMap!J4</f>
        <v>0.06</v>
      </c>
      <c r="G15" s="15">
        <f>MTFSI_LMP_GMX_UniqueMap!K4</f>
        <v>2.9</v>
      </c>
      <c r="H15" s="15" t="s">
        <v>68</v>
      </c>
      <c r="I15" s="15" t="s">
        <v>79</v>
      </c>
      <c r="K15" t="s">
        <v>262</v>
      </c>
      <c r="L15">
        <f t="shared" si="2"/>
        <v>13</v>
      </c>
      <c r="M15" s="9">
        <f t="shared" si="3"/>
        <v>13</v>
      </c>
      <c r="N15">
        <f t="shared" si="4"/>
        <v>0.06</v>
      </c>
      <c r="O15">
        <f t="shared" si="5"/>
        <v>2.9</v>
      </c>
      <c r="P15" s="10">
        <f t="shared" si="6"/>
        <v>7.25</v>
      </c>
      <c r="Q15" t="str">
        <f t="shared" si="7"/>
        <v># F-MT/Bulk</v>
      </c>
      <c r="U15">
        <f t="shared" si="11"/>
        <v>13</v>
      </c>
      <c r="V15">
        <f>MTFSI_LMP_GMX_UniqueMap!AB10</f>
        <v>0.15290000000000001</v>
      </c>
      <c r="W15">
        <f>MTFSI_LMP_GMX_UniqueMap!AC10</f>
        <v>224262.39999999999</v>
      </c>
      <c r="X15" t="str">
        <f>MTFSI_LMP_GMX_UniqueMap!AD10</f>
        <v>C1MT</v>
      </c>
      <c r="Y15" t="str">
        <f>MTFSI_LMP_GMX_UniqueMap!AE10</f>
        <v>C1MT</v>
      </c>
      <c r="Z15" t="str">
        <f t="shared" si="8"/>
        <v>C1MT-C1MT</v>
      </c>
      <c r="AB15" t="s">
        <v>254</v>
      </c>
      <c r="AC15">
        <v>13</v>
      </c>
      <c r="AD15" cm="1">
        <f t="array" ref="AD15">_xlfn.XLOOKUP(AG15,$Z$3:$Z$22,ROUND(0.00119502868*$W$3:$W$22,2))</f>
        <v>268</v>
      </c>
      <c r="AE15" cm="1">
        <f t="array" ref="AE15">_xlfn.XLOOKUP(AG15,$Z$3:$Z$22,ROUND(10*$V$3:$V$22,4))</f>
        <v>1.5289999999999999</v>
      </c>
      <c r="AF15" t="s">
        <v>68</v>
      </c>
      <c r="AG15" t="s">
        <v>109</v>
      </c>
      <c r="AM15">
        <f t="shared" si="12"/>
        <v>13</v>
      </c>
      <c r="AN15">
        <f>MTFSI_LMP_GMX_UniqueMap!AU8</f>
        <v>109.1</v>
      </c>
      <c r="AO15">
        <f>MTFSI_LMP_GMX_UniqueMap!AV8</f>
        <v>644.33600000000001</v>
      </c>
      <c r="AP15" t="str">
        <f>MTFSI_LMP_GMX_UniqueMap!AW8</f>
        <v>FMT</v>
      </c>
      <c r="AQ15" t="str">
        <f>MTFSI_LMP_GMX_UniqueMap!AX8</f>
        <v>C1MT</v>
      </c>
      <c r="AR15" t="str">
        <f>MTFSI_LMP_GMX_UniqueMap!AY8</f>
        <v>FMT</v>
      </c>
      <c r="AS15" t="str">
        <f t="shared" si="9"/>
        <v>FMT-C1MT-FMT</v>
      </c>
      <c r="AU15" t="s">
        <v>257</v>
      </c>
      <c r="AV15">
        <v>13</v>
      </c>
      <c r="AW15" cm="1">
        <f t="array" ref="AW15">_xlfn.XLOOKUP(AZ15,$AS$3:$AS$37,ROUND(0.119502868*$AO$3:$AO$37,3))</f>
        <v>50</v>
      </c>
      <c r="AX15" cm="1">
        <f t="array" ref="AX15">_xlfn.XLOOKUP(AZ15,$AS$3:$AS$37,ROUND($AN$3:$AN$37,3))</f>
        <v>108.6</v>
      </c>
      <c r="AY15" t="s">
        <v>68</v>
      </c>
      <c r="AZ15" t="s">
        <v>142</v>
      </c>
      <c r="BE15">
        <f t="shared" si="13"/>
        <v>13</v>
      </c>
      <c r="BF15">
        <f>MTFSI_LMP_GMX_UniqueMap!BV10</f>
        <v>0</v>
      </c>
      <c r="BG15">
        <f>MTFSI_LMP_GMX_UniqueMap!BW10</f>
        <v>0</v>
      </c>
      <c r="BH15">
        <f>MTFSI_LMP_GMX_UniqueMap!BX10</f>
        <v>0</v>
      </c>
      <c r="BI15">
        <f>MTFSI_LMP_GMX_UniqueMap!BY10</f>
        <v>0</v>
      </c>
      <c r="BJ15">
        <f>MTFSI_LMP_GMX_UniqueMap!BZ10</f>
        <v>0</v>
      </c>
      <c r="BK15">
        <f>MTFSI_LMP_GMX_UniqueMap!CA10</f>
        <v>0</v>
      </c>
      <c r="BL15">
        <f t="shared" si="10"/>
        <v>0</v>
      </c>
      <c r="BM15" t="str">
        <f>MTFSI_LMP_GMX_UniqueMap!CB10&amp;"-"&amp;MTFSI_LMP_GMX_UniqueMap!CC10&amp;"-"&amp;MTFSI_LMP_GMX_UniqueMap!CD10&amp;"-"&amp;MTFSI_LMP_GMX_UniqueMap!CE10</f>
        <v>FMT-C1MT-SMT-NMT</v>
      </c>
      <c r="BP15" t="s">
        <v>261</v>
      </c>
      <c r="BQ15">
        <v>13</v>
      </c>
      <c r="BR15" s="7">
        <f>BR11</f>
        <v>0</v>
      </c>
      <c r="BS15" s="7">
        <f t="shared" ref="BS15:BU15" si="18">BS11</f>
        <v>0</v>
      </c>
      <c r="BT15" s="7">
        <f t="shared" si="18"/>
        <v>0.3</v>
      </c>
      <c r="BU15" s="7">
        <f t="shared" si="18"/>
        <v>0</v>
      </c>
      <c r="BV15" s="7" t="s">
        <v>68</v>
      </c>
      <c r="BW15" s="7" t="s">
        <v>187</v>
      </c>
      <c r="BX15" s="7" t="str">
        <f>"Same as "&amp;BW11</f>
        <v>Same as C1MT-C1MT-C1MT-HMT</v>
      </c>
    </row>
    <row r="16" spans="1:76" x14ac:dyDescent="0.25">
      <c r="B16">
        <v>14</v>
      </c>
      <c r="C16" t="str">
        <f>MTFSI_LMP_GMX_UniqueMap!N3</f>
        <v>HMT</v>
      </c>
      <c r="D16">
        <f>MTFSI_LMP_GMX_UniqueMap!M3</f>
        <v>1.008</v>
      </c>
      <c r="E16" s="15">
        <f t="shared" si="0"/>
        <v>14</v>
      </c>
      <c r="F16" s="15">
        <f>MTFSI_LMP_GMX_UniqueMap!J3</f>
        <v>0.03</v>
      </c>
      <c r="G16" s="15">
        <f>MTFSI_LMP_GMX_UniqueMap!K3</f>
        <v>2.5</v>
      </c>
      <c r="H16" s="15" t="s">
        <v>68</v>
      </c>
      <c r="I16" s="15" t="s">
        <v>274</v>
      </c>
      <c r="K16" t="s">
        <v>262</v>
      </c>
      <c r="L16">
        <f t="shared" si="2"/>
        <v>14</v>
      </c>
      <c r="M16" s="9">
        <f t="shared" si="3"/>
        <v>14</v>
      </c>
      <c r="N16">
        <f t="shared" si="4"/>
        <v>0.03</v>
      </c>
      <c r="O16">
        <f t="shared" si="5"/>
        <v>2.5</v>
      </c>
      <c r="P16" s="10">
        <f t="shared" si="6"/>
        <v>6.25</v>
      </c>
      <c r="Q16" t="str">
        <f t="shared" si="7"/>
        <v># H-MT/Bulk</v>
      </c>
      <c r="U16">
        <f t="shared" si="11"/>
        <v>14</v>
      </c>
      <c r="V16">
        <f>MTFSI_LMP_GMX_UniqueMap!AB11</f>
        <v>0.17299999999999999</v>
      </c>
      <c r="W16">
        <f>MTFSI_LMP_GMX_UniqueMap!AC11</f>
        <v>209200</v>
      </c>
      <c r="X16" t="str">
        <f>MTFSI_LMP_GMX_UniqueMap!AD11</f>
        <v>NMT</v>
      </c>
      <c r="Y16" t="str">
        <f>MTFSI_LMP_GMX_UniqueMap!AE11</f>
        <v>SMT</v>
      </c>
      <c r="Z16" t="str">
        <f t="shared" si="8"/>
        <v>NMT-SMT</v>
      </c>
      <c r="AB16" t="s">
        <v>254</v>
      </c>
      <c r="AC16" s="16">
        <v>14</v>
      </c>
      <c r="AD16" s="16" cm="1">
        <f t="array" ref="AD16">_xlfn.XLOOKUP(AG16,$Z$3:$Z$22,ROUND(0.00119502868*$W$3:$W$22,2))</f>
        <v>340</v>
      </c>
      <c r="AE16" s="16" cm="1">
        <f t="array" ref="AE16">_xlfn.XLOOKUP(AG16,$Z$3:$Z$22,ROUND(10*$V$3:$V$22,4))</f>
        <v>1.0900000000000001</v>
      </c>
      <c r="AF16" s="16" t="s">
        <v>68</v>
      </c>
      <c r="AG16" s="16" t="s">
        <v>110</v>
      </c>
      <c r="AM16">
        <f t="shared" si="12"/>
        <v>14</v>
      </c>
      <c r="AN16">
        <f>MTFSI_LMP_GMX_UniqueMap!AU9</f>
        <v>109.5</v>
      </c>
      <c r="AO16">
        <f>MTFSI_LMP_GMX_UniqueMap!AV9</f>
        <v>418.4</v>
      </c>
      <c r="AP16" t="str">
        <f>MTFSI_LMP_GMX_UniqueMap!AW9</f>
        <v>O1MT</v>
      </c>
      <c r="AQ16" t="str">
        <f>MTFSI_LMP_GMX_UniqueMap!AX9</f>
        <v>C1MT</v>
      </c>
      <c r="AR16" t="str">
        <f>MTFSI_LMP_GMX_UniqueMap!AY9</f>
        <v>C1MT</v>
      </c>
      <c r="AS16" t="str">
        <f t="shared" si="9"/>
        <v>O1MT-C1MT-C1MT</v>
      </c>
      <c r="AU16" t="s">
        <v>257</v>
      </c>
      <c r="AV16">
        <v>14</v>
      </c>
      <c r="AW16" s="7">
        <f>AW10</f>
        <v>58.35</v>
      </c>
      <c r="AX16" s="7">
        <f>AX10</f>
        <v>112.7</v>
      </c>
      <c r="AY16" s="7" t="s">
        <v>68</v>
      </c>
      <c r="AZ16" s="7" t="s">
        <v>143</v>
      </c>
      <c r="BA16" s="7" t="s">
        <v>173</v>
      </c>
      <c r="BE16">
        <f t="shared" si="13"/>
        <v>14</v>
      </c>
      <c r="BF16">
        <f>MTFSI_LMP_GMX_UniqueMap!BV11</f>
        <v>0</v>
      </c>
      <c r="BG16">
        <f>MTFSI_LMP_GMX_UniqueMap!BW11</f>
        <v>0</v>
      </c>
      <c r="BH16">
        <f>MTFSI_LMP_GMX_UniqueMap!BX11</f>
        <v>0</v>
      </c>
      <c r="BI16">
        <f>MTFSI_LMP_GMX_UniqueMap!BY11</f>
        <v>0</v>
      </c>
      <c r="BJ16">
        <f>MTFSI_LMP_GMX_UniqueMap!BZ11</f>
        <v>0</v>
      </c>
      <c r="BK16">
        <f>MTFSI_LMP_GMX_UniqueMap!CA11</f>
        <v>0</v>
      </c>
      <c r="BL16">
        <f t="shared" si="10"/>
        <v>0</v>
      </c>
      <c r="BM16" t="str">
        <f>MTFSI_LMP_GMX_UniqueMap!CB11&amp;"-"&amp;MTFSI_LMP_GMX_UniqueMap!CC11&amp;"-"&amp;MTFSI_LMP_GMX_UniqueMap!CD11&amp;"-"&amp;MTFSI_LMP_GMX_UniqueMap!CE11</f>
        <v>FMT-C1MT-SMT-O3MT</v>
      </c>
      <c r="BP16" t="s">
        <v>261</v>
      </c>
      <c r="BQ16">
        <v>14</v>
      </c>
      <c r="BR16" cm="1">
        <f t="array" ref="BR16">ROUND(0.239005736*(-2*_xlfn.XLOOKUP(BW16,$BM$3:$BM$54,ROUND($BG$3:$BG$54,5)) - 1.5*_xlfn.XLOOKUP(BW16,$BM$3:$BM$54,ROUND($BI$3:$BI$54,5))),3)</f>
        <v>0</v>
      </c>
      <c r="BS16" cm="1">
        <f t="array" ref="BS16">ROUND(0.239005736*(_xlfn.XLOOKUP(BW16,$BM$3:$BM$54,ROUND($BF$3:$BF$54,5)) + _xlfn.XLOOKUP(BW16,$BM$3:$BM$54,ROUND($BG$3:$BG$54,5)) + _xlfn.XLOOKUP(BW16,$BM$3:$BM$54,ROUND($BI$3:$BI$54,5))),3)</f>
        <v>0</v>
      </c>
      <c r="BT16" cm="1">
        <f t="array" ref="BT16">ROUND(0.239005736*(-0.5*_xlfn.XLOOKUP(BW16,$BM$3:$BM$54,ROUND($BI$3:$BI$54,5))),3)</f>
        <v>-0.55300000000000005</v>
      </c>
      <c r="BU16" cm="1">
        <f t="array" ref="BU16">ROUND(0.239005736*(-0.25*_xlfn.XLOOKUP(BW16,$BM$3:$BM$54,ROUND($BJ$3:$BJ$54,5))),3)</f>
        <v>0</v>
      </c>
      <c r="BV16" t="s">
        <v>68</v>
      </c>
      <c r="BW16" t="s">
        <v>225</v>
      </c>
    </row>
    <row r="17" spans="2:76" x14ac:dyDescent="0.25">
      <c r="B17">
        <f>B16+1</f>
        <v>15</v>
      </c>
      <c r="C17" t="str">
        <f>VEC_LMP_GMX_UniqueMap!N3</f>
        <v>HV</v>
      </c>
      <c r="D17">
        <f>VEC_LMP_GMX_UniqueMap!M3</f>
        <v>1.008</v>
      </c>
      <c r="E17" s="15">
        <f t="shared" si="0"/>
        <v>15</v>
      </c>
      <c r="F17" s="15">
        <f>VEC_LMP_GMX_UniqueMap!J3</f>
        <v>0.03</v>
      </c>
      <c r="G17" s="15">
        <f>VEC_LMP_GMX_UniqueMap!K3</f>
        <v>2.5</v>
      </c>
      <c r="H17" s="15" t="s">
        <v>68</v>
      </c>
      <c r="I17" s="15" t="s">
        <v>275</v>
      </c>
      <c r="K17" t="s">
        <v>262</v>
      </c>
      <c r="L17">
        <f t="shared" si="2"/>
        <v>15</v>
      </c>
      <c r="M17" s="9">
        <f t="shared" si="3"/>
        <v>15</v>
      </c>
      <c r="N17">
        <f t="shared" si="4"/>
        <v>0.03</v>
      </c>
      <c r="O17">
        <f t="shared" si="5"/>
        <v>2.5</v>
      </c>
      <c r="P17" s="10">
        <f t="shared" si="6"/>
        <v>6.25</v>
      </c>
      <c r="Q17" t="str">
        <f t="shared" si="7"/>
        <v># H-VEC/Bulk</v>
      </c>
      <c r="U17">
        <f t="shared" si="11"/>
        <v>15</v>
      </c>
      <c r="V17">
        <f>MTFSI_LMP_GMX_UniqueMap!AB12</f>
        <v>0.17699999999999999</v>
      </c>
      <c r="W17">
        <f>MTFSI_LMP_GMX_UniqueMap!AC12</f>
        <v>284512</v>
      </c>
      <c r="X17" t="str">
        <f>MTFSI_LMP_GMX_UniqueMap!AD12</f>
        <v>SMT</v>
      </c>
      <c r="Y17" t="str">
        <f>MTFSI_LMP_GMX_UniqueMap!AE12</f>
        <v>C1MT</v>
      </c>
      <c r="Z17" t="str">
        <f t="shared" si="8"/>
        <v>SMT-C1MT</v>
      </c>
      <c r="AB17" t="s">
        <v>254</v>
      </c>
      <c r="AC17">
        <v>15</v>
      </c>
      <c r="AD17" cm="1">
        <f t="array" ref="AD17">_xlfn.XLOOKUP(AG17,$Z$3:$Z$22,ROUND(0.00119502868*$W$3:$W$22,2))</f>
        <v>320</v>
      </c>
      <c r="AE17" cm="1">
        <f t="array" ref="AE17">_xlfn.XLOOKUP(AG17,$Z$3:$Z$22,ROUND(10*$V$3:$V$22,4))</f>
        <v>1.41</v>
      </c>
      <c r="AF17" t="s">
        <v>68</v>
      </c>
      <c r="AG17" t="s">
        <v>125</v>
      </c>
      <c r="AM17">
        <f t="shared" si="12"/>
        <v>15</v>
      </c>
      <c r="AN17">
        <f>MTFSI_LMP_GMX_UniqueMap!AU10</f>
        <v>109.5</v>
      </c>
      <c r="AO17">
        <f>MTFSI_LMP_GMX_UniqueMap!AV10</f>
        <v>292.88</v>
      </c>
      <c r="AP17" t="str">
        <f>MTFSI_LMP_GMX_UniqueMap!AW10</f>
        <v>O1MT</v>
      </c>
      <c r="AQ17" t="str">
        <f>MTFSI_LMP_GMX_UniqueMap!AX10</f>
        <v>C1MT</v>
      </c>
      <c r="AR17" t="str">
        <f>MTFSI_LMP_GMX_UniqueMap!AY10</f>
        <v>HMT</v>
      </c>
      <c r="AS17" t="str">
        <f t="shared" si="9"/>
        <v>O1MT-C1MT-HMT</v>
      </c>
      <c r="AU17" t="s">
        <v>257</v>
      </c>
      <c r="AV17">
        <v>15</v>
      </c>
      <c r="AW17" s="7">
        <f>AW3</f>
        <v>37.5</v>
      </c>
      <c r="AX17" s="7">
        <f>AX3</f>
        <v>110.7</v>
      </c>
      <c r="AY17" s="7" t="s">
        <v>68</v>
      </c>
      <c r="AZ17" s="7" t="s">
        <v>144</v>
      </c>
      <c r="BA17" s="7" t="s">
        <v>175</v>
      </c>
      <c r="BE17">
        <f t="shared" si="13"/>
        <v>15</v>
      </c>
      <c r="BF17">
        <f>MTFSI_LMP_GMX_UniqueMap!BV12</f>
        <v>-0.20899999999999999</v>
      </c>
      <c r="BG17">
        <f>MTFSI_LMP_GMX_UniqueMap!BW12</f>
        <v>-0.628</v>
      </c>
      <c r="BH17">
        <f>MTFSI_LMP_GMX_UniqueMap!BX12</f>
        <v>0</v>
      </c>
      <c r="BI17">
        <f>MTFSI_LMP_GMX_UniqueMap!BY12</f>
        <v>0.83699999999999997</v>
      </c>
      <c r="BJ17">
        <f>MTFSI_LMP_GMX_UniqueMap!BZ12</f>
        <v>0</v>
      </c>
      <c r="BK17">
        <f>MTFSI_LMP_GMX_UniqueMap!CA12</f>
        <v>0</v>
      </c>
      <c r="BL17">
        <f t="shared" si="10"/>
        <v>0</v>
      </c>
      <c r="BM17" t="str">
        <f>MTFSI_LMP_GMX_UniqueMap!CB12&amp;"-"&amp;MTFSI_LMP_GMX_UniqueMap!CC12&amp;"-"&amp;MTFSI_LMP_GMX_UniqueMap!CD12&amp;"-"&amp;MTFSI_LMP_GMX_UniqueMap!CE12</f>
        <v>HMT-C1MT-C1MT-C2MT</v>
      </c>
      <c r="BP17" t="s">
        <v>261</v>
      </c>
      <c r="BQ17">
        <v>15</v>
      </c>
      <c r="BR17" cm="1">
        <f t="array" ref="BR17">ROUND(0.239005736*(-2*_xlfn.XLOOKUP(BW17,$BM$3:$BM$54,ROUND($BG$3:$BG$54,5)) - 1.5*_xlfn.XLOOKUP(BW17,$BM$3:$BM$54,ROUND($BI$3:$BI$54,5))),3)</f>
        <v>0</v>
      </c>
      <c r="BS17" cm="1">
        <f t="array" ref="BS17">ROUND(0.239005736*(_xlfn.XLOOKUP(BW17,$BM$3:$BM$54,ROUND($BF$3:$BF$54,5)) + _xlfn.XLOOKUP(BW17,$BM$3:$BM$54,ROUND($BG$3:$BG$54,5)) + _xlfn.XLOOKUP(BW17,$BM$3:$BM$54,ROUND($BI$3:$BI$54,5))),3)</f>
        <v>0</v>
      </c>
      <c r="BT17" cm="1">
        <f t="array" ref="BT17">ROUND(0.239005736*(-0.5*_xlfn.XLOOKUP(BW17,$BM$3:$BM$54,ROUND($BI$3:$BI$54,5))),3)</f>
        <v>0</v>
      </c>
      <c r="BU17" cm="1">
        <f t="array" ref="BU17">ROUND(0.239005736*(-0.25*_xlfn.XLOOKUP(BW17,$BM$3:$BM$54,ROUND($BJ$3:$BJ$54,5))),3)</f>
        <v>0</v>
      </c>
      <c r="BV17" t="s">
        <v>68</v>
      </c>
      <c r="BW17" t="s">
        <v>226</v>
      </c>
    </row>
    <row r="18" spans="2:76" x14ac:dyDescent="0.25">
      <c r="B18">
        <f t="shared" ref="B18:B20" si="19">B17+1</f>
        <v>16</v>
      </c>
      <c r="C18" t="str">
        <f>MTFSI_LMP_GMX_UniqueMap!N8</f>
        <v>NMT</v>
      </c>
      <c r="D18">
        <f>MTFSI_LMP_GMX_UniqueMap!M8</f>
        <v>14.007</v>
      </c>
      <c r="E18" s="15">
        <f t="shared" si="0"/>
        <v>16</v>
      </c>
      <c r="F18" s="15">
        <f>MTFSI_LMP_GMX_UniqueMap!J8</f>
        <v>0.17</v>
      </c>
      <c r="G18" s="15">
        <f>MTFSI_LMP_GMX_UniqueMap!K8</f>
        <v>3.25</v>
      </c>
      <c r="H18" s="15" t="s">
        <v>68</v>
      </c>
      <c r="I18" s="15" t="s">
        <v>80</v>
      </c>
      <c r="K18" t="s">
        <v>262</v>
      </c>
      <c r="L18">
        <f t="shared" si="2"/>
        <v>16</v>
      </c>
      <c r="M18" s="9">
        <f t="shared" si="3"/>
        <v>16</v>
      </c>
      <c r="N18">
        <f t="shared" si="4"/>
        <v>0.17</v>
      </c>
      <c r="O18">
        <f t="shared" si="5"/>
        <v>3.25</v>
      </c>
      <c r="P18" s="10">
        <f t="shared" si="6"/>
        <v>8.125</v>
      </c>
      <c r="Q18" t="str">
        <f t="shared" si="7"/>
        <v># N-MT/Bulk</v>
      </c>
      <c r="U18">
        <f t="shared" si="11"/>
        <v>16</v>
      </c>
      <c r="V18">
        <f>VEC_LMP_GMX_UniqueMap!AB3</f>
        <v>0.109</v>
      </c>
      <c r="W18">
        <f>VEC_LMP_GMX_UniqueMap!AC3</f>
        <v>284512</v>
      </c>
      <c r="X18" t="str">
        <f>VEC_LMP_GMX_UniqueMap!AD3</f>
        <v>C1V</v>
      </c>
      <c r="Y18" t="str">
        <f>VEC_LMP_GMX_UniqueMap!AE3</f>
        <v>HV</v>
      </c>
      <c r="Z18" t="str">
        <f t="shared" si="8"/>
        <v>C1V-HV</v>
      </c>
      <c r="AB18" t="s">
        <v>254</v>
      </c>
      <c r="AC18">
        <v>16</v>
      </c>
      <c r="AD18" cm="1">
        <f t="array" ref="AD18">_xlfn.XLOOKUP(AG18,$Z$3:$Z$22,ROUND(0.00119502868*$W$3:$W$22,2))</f>
        <v>214</v>
      </c>
      <c r="AE18" cm="1">
        <f t="array" ref="AE18">_xlfn.XLOOKUP(AG18,$Z$3:$Z$22,ROUND(10*$V$3:$V$22,4))</f>
        <v>1.327</v>
      </c>
      <c r="AF18" t="s">
        <v>68</v>
      </c>
      <c r="AG18" t="s">
        <v>126</v>
      </c>
      <c r="AM18">
        <f t="shared" si="12"/>
        <v>16</v>
      </c>
      <c r="AN18">
        <f>MTFSI_LMP_GMX_UniqueMap!AU11</f>
        <v>109.5</v>
      </c>
      <c r="AO18">
        <f>MTFSI_LMP_GMX_UniqueMap!AV11</f>
        <v>418.4</v>
      </c>
      <c r="AP18" t="str">
        <f>MTFSI_LMP_GMX_UniqueMap!AW11</f>
        <v>SMT</v>
      </c>
      <c r="AQ18" t="str">
        <f>MTFSI_LMP_GMX_UniqueMap!AX11</f>
        <v>C1MT</v>
      </c>
      <c r="AR18" t="str">
        <f>MTFSI_LMP_GMX_UniqueMap!AY11</f>
        <v>FMT</v>
      </c>
      <c r="AS18" t="str">
        <f t="shared" si="9"/>
        <v>SMT-C1MT-FMT</v>
      </c>
      <c r="AU18" t="s">
        <v>257</v>
      </c>
      <c r="AV18">
        <v>16</v>
      </c>
      <c r="AW18" cm="1">
        <f t="array" ref="AW18">_xlfn.XLOOKUP(AZ18,$AS$3:$AS$37,ROUND(0.119502868*$AO$3:$AO$37,3))</f>
        <v>81</v>
      </c>
      <c r="AX18" cm="1">
        <f t="array" ref="AX18">_xlfn.XLOOKUP(AZ18,$AS$3:$AS$37,ROUND($AN$3:$AN$37,3))</f>
        <v>111.4</v>
      </c>
      <c r="AY18" t="s">
        <v>68</v>
      </c>
      <c r="AZ18" t="s">
        <v>145</v>
      </c>
      <c r="BE18">
        <f t="shared" si="13"/>
        <v>16</v>
      </c>
      <c r="BF18">
        <f>MTFSI_LMP_GMX_UniqueMap!BV13</f>
        <v>0.628</v>
      </c>
      <c r="BG18">
        <f>MTFSI_LMP_GMX_UniqueMap!BW13</f>
        <v>1.883</v>
      </c>
      <c r="BH18">
        <f>MTFSI_LMP_GMX_UniqueMap!BX13</f>
        <v>0</v>
      </c>
      <c r="BI18">
        <f>MTFSI_LMP_GMX_UniqueMap!BY13</f>
        <v>-2.5099999999999998</v>
      </c>
      <c r="BJ18">
        <f>MTFSI_LMP_GMX_UniqueMap!BZ13</f>
        <v>0</v>
      </c>
      <c r="BK18">
        <f>MTFSI_LMP_GMX_UniqueMap!CA13</f>
        <v>0</v>
      </c>
      <c r="BL18">
        <f t="shared" si="10"/>
        <v>1.000000000000334E-3</v>
      </c>
      <c r="BM18" t="str">
        <f>MTFSI_LMP_GMX_UniqueMap!CB13&amp;"-"&amp;MTFSI_LMP_GMX_UniqueMap!CC13&amp;"-"&amp;MTFSI_LMP_GMX_UniqueMap!CD13&amp;"-"&amp;MTFSI_LMP_GMX_UniqueMap!CE13</f>
        <v>HMT-C1MT-C1MT-C1MT</v>
      </c>
      <c r="BP18" t="s">
        <v>261</v>
      </c>
      <c r="BQ18">
        <v>16</v>
      </c>
      <c r="BR18" cm="1">
        <f t="array" ref="BR18">ROUND(0.239005736*(-2*_xlfn.XLOOKUP(BW18,$BM$3:$BM$54,ROUND($BG$3:$BG$54,5)) - 1.5*_xlfn.XLOOKUP(BW18,$BM$3:$BM$54,ROUND($BI$3:$BI$54,5))),3)</f>
        <v>-1.22</v>
      </c>
      <c r="BS18" cm="1">
        <f t="array" ref="BS18">ROUND(0.239005736*(_xlfn.XLOOKUP(BW18,$BM$3:$BM$54,ROUND($BF$3:$BF$54,5)) + _xlfn.XLOOKUP(BW18,$BM$3:$BM$54,ROUND($BG$3:$BG$54,5)) + _xlfn.XLOOKUP(BW18,$BM$3:$BM$54,ROUND($BI$3:$BI$54,5))),3)</f>
        <v>-0.126</v>
      </c>
      <c r="BT18" cm="1">
        <f t="array" ref="BT18">ROUND(0.239005736*(-0.5*_xlfn.XLOOKUP(BW18,$BM$3:$BM$54,ROUND($BI$3:$BI$54,5))),3)</f>
        <v>0.42199999999999999</v>
      </c>
      <c r="BU18" cm="1">
        <f t="array" ref="BU18">ROUND(0.239005736*(-0.25*_xlfn.XLOOKUP(BW18,$BM$3:$BM$54,ROUND($BJ$3:$BJ$54,5))),3)</f>
        <v>0</v>
      </c>
      <c r="BV18" t="s">
        <v>68</v>
      </c>
      <c r="BW18" t="s">
        <v>188</v>
      </c>
    </row>
    <row r="19" spans="2:76" x14ac:dyDescent="0.25">
      <c r="B19">
        <f t="shared" si="19"/>
        <v>17</v>
      </c>
      <c r="C19" t="str">
        <f>MTFSI_LMP_GMX_UniqueMap!N7</f>
        <v>O1MT</v>
      </c>
      <c r="D19">
        <f>MTFSI_LMP_GMX_UniqueMap!M7</f>
        <v>15.999000000000001</v>
      </c>
      <c r="E19" s="15">
        <f t="shared" si="0"/>
        <v>17</v>
      </c>
      <c r="F19" s="15">
        <f>MTFSI_LMP_GMX_UniqueMap!J7</f>
        <v>0.14000000000000001</v>
      </c>
      <c r="G19" s="15">
        <f>MTFSI_LMP_GMX_UniqueMap!K7</f>
        <v>2.9</v>
      </c>
      <c r="H19" s="15" t="s">
        <v>68</v>
      </c>
      <c r="I19" s="15" t="s">
        <v>81</v>
      </c>
      <c r="K19" t="s">
        <v>262</v>
      </c>
      <c r="L19">
        <f t="shared" si="2"/>
        <v>17</v>
      </c>
      <c r="M19" s="9">
        <f t="shared" si="3"/>
        <v>17</v>
      </c>
      <c r="N19">
        <f t="shared" si="4"/>
        <v>0.14000000000000001</v>
      </c>
      <c r="O19">
        <f t="shared" si="5"/>
        <v>2.9</v>
      </c>
      <c r="P19" s="10">
        <f t="shared" si="6"/>
        <v>7.25</v>
      </c>
      <c r="Q19" t="str">
        <f t="shared" si="7"/>
        <v># O1-MT/Bulk</v>
      </c>
      <c r="U19">
        <f t="shared" si="11"/>
        <v>17</v>
      </c>
      <c r="V19">
        <f>VEC_LMP_GMX_UniqueMap!AB4</f>
        <v>0.1229</v>
      </c>
      <c r="W19">
        <f>VEC_LMP_GMX_UniqueMap!AC4</f>
        <v>476976</v>
      </c>
      <c r="X19" t="str">
        <f>VEC_LMP_GMX_UniqueMap!AD4</f>
        <v>O2V</v>
      </c>
      <c r="Y19" t="str">
        <f>VEC_LMP_GMX_UniqueMap!AE4</f>
        <v>C2V</v>
      </c>
      <c r="Z19" t="str">
        <f t="shared" si="8"/>
        <v>O2V-C2V</v>
      </c>
      <c r="AB19" t="s">
        <v>254</v>
      </c>
      <c r="AC19">
        <v>17</v>
      </c>
      <c r="AD19" cm="1">
        <f t="array" ref="AD19">_xlfn.XLOOKUP(AG19,$Z$3:$Z$22,ROUND(0.00119502868*$W$3:$W$22,2))</f>
        <v>570</v>
      </c>
      <c r="AE19" cm="1">
        <f t="array" ref="AE19">_xlfn.XLOOKUP(AG19,$Z$3:$Z$22,ROUND(10*$V$3:$V$22,4))</f>
        <v>1.2290000000000001</v>
      </c>
      <c r="AF19" t="s">
        <v>68</v>
      </c>
      <c r="AG19" t="s">
        <v>128</v>
      </c>
      <c r="AM19">
        <f t="shared" si="12"/>
        <v>17</v>
      </c>
      <c r="AN19">
        <f>MTFSI_LMP_GMX_UniqueMap!AU12</f>
        <v>109.5</v>
      </c>
      <c r="AO19">
        <f>MTFSI_LMP_GMX_UniqueMap!AV12</f>
        <v>292.88</v>
      </c>
      <c r="AP19" t="str">
        <f>MTFSI_LMP_GMX_UniqueMap!AW12</f>
        <v>SMT</v>
      </c>
      <c r="AQ19" t="str">
        <f>MTFSI_LMP_GMX_UniqueMap!AX12</f>
        <v>C1MT</v>
      </c>
      <c r="AR19" t="str">
        <f>MTFSI_LMP_GMX_UniqueMap!AY12</f>
        <v>HMT</v>
      </c>
      <c r="AS19" t="str">
        <f t="shared" si="9"/>
        <v>SMT-C1MT-HMT</v>
      </c>
      <c r="AU19" t="s">
        <v>257</v>
      </c>
      <c r="AV19">
        <v>17</v>
      </c>
      <c r="AW19" cm="1">
        <f t="array" ref="AW19">_xlfn.XLOOKUP(AZ19,$AS$3:$AS$37,ROUND(0.119502868*$AO$3:$AO$37,3))</f>
        <v>80</v>
      </c>
      <c r="AX19" cm="1">
        <f t="array" ref="AX19">_xlfn.XLOOKUP(AZ19,$AS$3:$AS$37,ROUND($AN$3:$AN$37,3))</f>
        <v>120.4</v>
      </c>
      <c r="AY19" t="s">
        <v>68</v>
      </c>
      <c r="AZ19" t="s">
        <v>146</v>
      </c>
      <c r="BE19">
        <f t="shared" si="13"/>
        <v>17</v>
      </c>
      <c r="BF19">
        <f>MTFSI_LMP_GMX_UniqueMap!BV14</f>
        <v>0.628</v>
      </c>
      <c r="BG19">
        <f>MTFSI_LMP_GMX_UniqueMap!BW14</f>
        <v>1.883</v>
      </c>
      <c r="BH19">
        <f>MTFSI_LMP_GMX_UniqueMap!BX14</f>
        <v>0</v>
      </c>
      <c r="BI19">
        <f>MTFSI_LMP_GMX_UniqueMap!BY14</f>
        <v>-2.5099999999999998</v>
      </c>
      <c r="BJ19">
        <f>MTFSI_LMP_GMX_UniqueMap!BZ14</f>
        <v>0</v>
      </c>
      <c r="BK19">
        <f>MTFSI_LMP_GMX_UniqueMap!CA14</f>
        <v>0</v>
      </c>
      <c r="BL19">
        <f t="shared" si="10"/>
        <v>1.000000000000334E-3</v>
      </c>
      <c r="BM19" t="str">
        <f>MTFSI_LMP_GMX_UniqueMap!CB14&amp;"-"&amp;MTFSI_LMP_GMX_UniqueMap!CC14&amp;"-"&amp;MTFSI_LMP_GMX_UniqueMap!CD14&amp;"-"&amp;MTFSI_LMP_GMX_UniqueMap!CE14</f>
        <v>HMT-C1MT-C1MT-HMT</v>
      </c>
      <c r="BP19" t="s">
        <v>261</v>
      </c>
      <c r="BQ19">
        <v>17</v>
      </c>
      <c r="BR19" cm="1">
        <f t="array" ref="BR19">ROUND(0.239005736*(-2*_xlfn.XLOOKUP(BW19,$BM$3:$BM$54,ROUND($BG$3:$BG$54,5)) - 1.5*_xlfn.XLOOKUP(BW19,$BM$3:$BM$54,ROUND($BI$3:$BI$54,5))),3)</f>
        <v>0</v>
      </c>
      <c r="BS19" cm="1">
        <f t="array" ref="BS19">ROUND(0.239005736*(_xlfn.XLOOKUP(BW19,$BM$3:$BM$54,ROUND($BF$3:$BF$54,5)) + _xlfn.XLOOKUP(BW19,$BM$3:$BM$54,ROUND($BG$3:$BG$54,5)) + _xlfn.XLOOKUP(BW19,$BM$3:$BM$54,ROUND($BI$3:$BI$54,5))),3)</f>
        <v>0</v>
      </c>
      <c r="BT19" cm="1">
        <f t="array" ref="BT19">ROUND(0.239005736*(-0.5*_xlfn.XLOOKUP(BW19,$BM$3:$BM$54,ROUND($BI$3:$BI$54,5))),3)</f>
        <v>0</v>
      </c>
      <c r="BU19" cm="1">
        <f t="array" ref="BU19">ROUND(0.239005736*(-0.25*_xlfn.XLOOKUP(BW19,$BM$3:$BM$54,ROUND($BJ$3:$BJ$54,5))),3)</f>
        <v>0</v>
      </c>
      <c r="BV19" t="s">
        <v>68</v>
      </c>
      <c r="BW19" t="s">
        <v>227</v>
      </c>
    </row>
    <row r="20" spans="2:76" x14ac:dyDescent="0.25">
      <c r="B20">
        <f t="shared" si="19"/>
        <v>18</v>
      </c>
      <c r="C20" t="str">
        <f>VEC_LMP_GMX_UniqueMap!N4</f>
        <v>O1V</v>
      </c>
      <c r="D20">
        <f>VEC_LMP_GMX_UniqueMap!M4</f>
        <v>15.999000000000001</v>
      </c>
      <c r="E20" s="15">
        <f t="shared" si="0"/>
        <v>18</v>
      </c>
      <c r="F20" s="15">
        <f>VEC_LMP_GMX_UniqueMap!J4</f>
        <v>0.14000000000000001</v>
      </c>
      <c r="G20" s="15">
        <f>VEC_LMP_GMX_UniqueMap!K4</f>
        <v>2.9</v>
      </c>
      <c r="H20" s="15" t="s">
        <v>68</v>
      </c>
      <c r="I20" s="15" t="s">
        <v>82</v>
      </c>
      <c r="K20" t="s">
        <v>262</v>
      </c>
      <c r="L20">
        <f t="shared" si="2"/>
        <v>18</v>
      </c>
      <c r="M20" s="9">
        <f t="shared" si="3"/>
        <v>18</v>
      </c>
      <c r="N20">
        <f t="shared" si="4"/>
        <v>0.14000000000000001</v>
      </c>
      <c r="O20">
        <f t="shared" si="5"/>
        <v>2.9</v>
      </c>
      <c r="P20" s="10">
        <f t="shared" si="6"/>
        <v>7.25</v>
      </c>
      <c r="Q20" t="str">
        <f t="shared" si="7"/>
        <v># O1-VEC/Bulk</v>
      </c>
      <c r="U20">
        <f t="shared" si="11"/>
        <v>18</v>
      </c>
      <c r="V20">
        <f>VEC_LMP_GMX_UniqueMap!AB5</f>
        <v>0.13270000000000001</v>
      </c>
      <c r="W20">
        <f>VEC_LMP_GMX_UniqueMap!AC5</f>
        <v>179075.20000000001</v>
      </c>
      <c r="X20" t="str">
        <f>VEC_LMP_GMX_UniqueMap!AD5</f>
        <v>C2V</v>
      </c>
      <c r="Y20" t="str">
        <f>VEC_LMP_GMX_UniqueMap!AE5</f>
        <v>O1V</v>
      </c>
      <c r="Z20" t="str">
        <f t="shared" si="8"/>
        <v>C2V-O1V</v>
      </c>
      <c r="AB20" t="s">
        <v>254</v>
      </c>
      <c r="AC20">
        <v>18</v>
      </c>
      <c r="AD20" cm="1">
        <f t="array" ref="AD20">_xlfn.XLOOKUP(AG20,$Z$3:$Z$22,ROUND(0.00119502868*$W$3:$W$22,2))</f>
        <v>214</v>
      </c>
      <c r="AE20" cm="1">
        <f t="array" ref="AE20">_xlfn.XLOOKUP(AG20,$Z$3:$Z$22,ROUND(10*$V$3:$V$22,4))</f>
        <v>1.327</v>
      </c>
      <c r="AF20" t="s">
        <v>68</v>
      </c>
      <c r="AG20" t="s">
        <v>111</v>
      </c>
      <c r="AM20">
        <f t="shared" si="12"/>
        <v>18</v>
      </c>
      <c r="AN20">
        <f>MTFSI_LMP_GMX_UniqueMap!AU13</f>
        <v>109.5</v>
      </c>
      <c r="AO20">
        <f>MTFSI_LMP_GMX_UniqueMap!AV13</f>
        <v>292.88</v>
      </c>
      <c r="AP20" t="str">
        <f>MTFSI_LMP_GMX_UniqueMap!AW13</f>
        <v>C2MT</v>
      </c>
      <c r="AQ20" t="str">
        <f>MTFSI_LMP_GMX_UniqueMap!AX13</f>
        <v>C1MT</v>
      </c>
      <c r="AR20" t="str">
        <f>MTFSI_LMP_GMX_UniqueMap!AY13</f>
        <v>HMT</v>
      </c>
      <c r="AS20" t="str">
        <f t="shared" si="9"/>
        <v>C2MT-C1MT-HMT</v>
      </c>
      <c r="AU20" t="s">
        <v>257</v>
      </c>
      <c r="AV20">
        <v>18</v>
      </c>
      <c r="AW20" cm="1">
        <f t="array" ref="AW20">_xlfn.XLOOKUP(AZ20,$AS$3:$AS$37,ROUND(0.119502868*$AO$3:$AO$37,3))</f>
        <v>83</v>
      </c>
      <c r="AX20" cm="1">
        <f t="array" ref="AX20">_xlfn.XLOOKUP(AZ20,$AS$3:$AS$37,ROUND($AN$3:$AN$37,3))</f>
        <v>116.9</v>
      </c>
      <c r="AY20" t="s">
        <v>68</v>
      </c>
      <c r="AZ20" t="s">
        <v>167</v>
      </c>
      <c r="BE20">
        <f t="shared" si="13"/>
        <v>18</v>
      </c>
      <c r="BF20">
        <f>MTFSI_LMP_GMX_UniqueMap!BV15</f>
        <v>0.97899999999999998</v>
      </c>
      <c r="BG20">
        <f>MTFSI_LMP_GMX_UniqueMap!BW15</f>
        <v>2.9369999999999998</v>
      </c>
      <c r="BH20">
        <f>MTFSI_LMP_GMX_UniqueMap!BX15</f>
        <v>0</v>
      </c>
      <c r="BI20">
        <f>MTFSI_LMP_GMX_UniqueMap!BY15</f>
        <v>-3.9159999999999999</v>
      </c>
      <c r="BJ20">
        <f>MTFSI_LMP_GMX_UniqueMap!BZ15</f>
        <v>0</v>
      </c>
      <c r="BK20">
        <f>MTFSI_LMP_GMX_UniqueMap!CA15</f>
        <v>0</v>
      </c>
      <c r="BL20">
        <f t="shared" si="10"/>
        <v>0</v>
      </c>
      <c r="BM20" t="str">
        <f>MTFSI_LMP_GMX_UniqueMap!CB15&amp;"-"&amp;MTFSI_LMP_GMX_UniqueMap!CC15&amp;"-"&amp;MTFSI_LMP_GMX_UniqueMap!CD15&amp;"-"&amp;MTFSI_LMP_GMX_UniqueMap!CE15</f>
        <v>HMT-C1MT-C1MT-O1MT</v>
      </c>
      <c r="BP20" t="s">
        <v>261</v>
      </c>
      <c r="BQ20">
        <v>18</v>
      </c>
      <c r="BR20" cm="1">
        <f t="array" ref="BR20">ROUND(0.239005736*(-2*_xlfn.XLOOKUP(BW20,$BM$3:$BM$54,ROUND($BG$3:$BG$54,5)) - 1.5*_xlfn.XLOOKUP(BW20,$BM$3:$BM$54,ROUND($BI$3:$BI$54,5))),3)</f>
        <v>0</v>
      </c>
      <c r="BS20" cm="1">
        <f t="array" ref="BS20">ROUND(0.239005736*(_xlfn.XLOOKUP(BW20,$BM$3:$BM$54,ROUND($BF$3:$BF$54,5)) + _xlfn.XLOOKUP(BW20,$BM$3:$BM$54,ROUND($BG$3:$BG$54,5)) + _xlfn.XLOOKUP(BW20,$BM$3:$BM$54,ROUND($BI$3:$BI$54,5))),3)</f>
        <v>0</v>
      </c>
      <c r="BT20" cm="1">
        <f t="array" ref="BT20">ROUND(0.239005736*(-0.5*_xlfn.XLOOKUP(BW20,$BM$3:$BM$54,ROUND($BI$3:$BI$54,5))),3)</f>
        <v>0</v>
      </c>
      <c r="BU20" cm="1">
        <f t="array" ref="BU20">ROUND(0.239005736*(-0.25*_xlfn.XLOOKUP(BW20,$BM$3:$BM$54,ROUND($BJ$3:$BJ$54,5))),3)</f>
        <v>0</v>
      </c>
      <c r="BV20" t="s">
        <v>68</v>
      </c>
      <c r="BW20" t="s">
        <v>228</v>
      </c>
    </row>
    <row r="21" spans="2:76" x14ac:dyDescent="0.25">
      <c r="B21">
        <v>19</v>
      </c>
      <c r="C21" t="str">
        <f>MTFSI_LMP_GMX_UniqueMap!N10</f>
        <v>O2MT</v>
      </c>
      <c r="D21">
        <f>MTFSI_LMP_GMX_UniqueMap!M10</f>
        <v>15.999000000000001</v>
      </c>
      <c r="E21" s="15">
        <f t="shared" si="0"/>
        <v>19</v>
      </c>
      <c r="F21" s="15">
        <f>MTFSI_LMP_GMX_UniqueMap!J10</f>
        <v>0.21</v>
      </c>
      <c r="G21" s="15">
        <f>MTFSI_LMP_GMX_UniqueMap!K10</f>
        <v>2.96</v>
      </c>
      <c r="H21" s="15" t="s">
        <v>68</v>
      </c>
      <c r="I21" s="15" t="s">
        <v>83</v>
      </c>
      <c r="K21" t="s">
        <v>262</v>
      </c>
      <c r="L21">
        <f t="shared" si="2"/>
        <v>19</v>
      </c>
      <c r="M21" s="9">
        <f t="shared" si="3"/>
        <v>19</v>
      </c>
      <c r="N21">
        <f t="shared" si="4"/>
        <v>0.21</v>
      </c>
      <c r="O21">
        <f t="shared" si="5"/>
        <v>2.96</v>
      </c>
      <c r="P21" s="10">
        <f t="shared" si="6"/>
        <v>7.4</v>
      </c>
      <c r="Q21" t="str">
        <f t="shared" si="7"/>
        <v># O2-MT/Bulk</v>
      </c>
      <c r="U21">
        <f t="shared" si="11"/>
        <v>19</v>
      </c>
      <c r="V21">
        <f>VEC_LMP_GMX_UniqueMap!AB6</f>
        <v>0.14099999999999999</v>
      </c>
      <c r="W21">
        <f>VEC_LMP_GMX_UniqueMap!AC6</f>
        <v>267776</v>
      </c>
      <c r="X21" t="str">
        <f>VEC_LMP_GMX_UniqueMap!AD6</f>
        <v>O1V</v>
      </c>
      <c r="Y21" t="str">
        <f>VEC_LMP_GMX_UniqueMap!AE6</f>
        <v>C1V</v>
      </c>
      <c r="Z21" t="str">
        <f t="shared" si="8"/>
        <v>O1V-C1V</v>
      </c>
      <c r="AB21" t="s">
        <v>254</v>
      </c>
      <c r="AC21">
        <v>19</v>
      </c>
      <c r="AD21" cm="1">
        <f t="array" ref="AD21">_xlfn.XLOOKUP(AG21,$Z$3:$Z$22,ROUND(0.00119502868*$W$3:$W$22,2))</f>
        <v>570</v>
      </c>
      <c r="AE21" cm="1">
        <f t="array" ref="AE21">_xlfn.XLOOKUP(AG21,$Z$3:$Z$22,ROUND(10*$V$3:$V$22,4))</f>
        <v>1.2290000000000001</v>
      </c>
      <c r="AF21" t="s">
        <v>68</v>
      </c>
      <c r="AG21" t="s">
        <v>127</v>
      </c>
      <c r="AM21">
        <f t="shared" si="12"/>
        <v>19</v>
      </c>
      <c r="AN21">
        <f>MTFSI_LMP_GMX_UniqueMap!AU14</f>
        <v>110.7</v>
      </c>
      <c r="AO21">
        <f>MTFSI_LMP_GMX_UniqueMap!AV14</f>
        <v>313.8</v>
      </c>
      <c r="AP21" t="str">
        <f>MTFSI_LMP_GMX_UniqueMap!AW14</f>
        <v>HMT</v>
      </c>
      <c r="AQ21" t="str">
        <f>MTFSI_LMP_GMX_UniqueMap!AX14</f>
        <v>C1MT</v>
      </c>
      <c r="AR21" t="str">
        <f>MTFSI_LMP_GMX_UniqueMap!AY14</f>
        <v>C1MT</v>
      </c>
      <c r="AS21" t="str">
        <f t="shared" si="9"/>
        <v>HMT-C1MT-C1MT</v>
      </c>
      <c r="AU21" t="s">
        <v>257</v>
      </c>
      <c r="AV21">
        <v>19</v>
      </c>
      <c r="AW21" cm="1">
        <f t="array" ref="AW21">_xlfn.XLOOKUP(AZ21,$AS$3:$AS$37,ROUND(0.119502868*$AO$3:$AO$37,3))</f>
        <v>78.67</v>
      </c>
      <c r="AX21" cm="1">
        <f t="array" ref="AX21">_xlfn.XLOOKUP(AZ21,$AS$3:$AS$37,ROUND($AN$3:$AN$37,3))</f>
        <v>104.36</v>
      </c>
      <c r="AY21" t="s">
        <v>68</v>
      </c>
      <c r="AZ21" t="s">
        <v>147</v>
      </c>
      <c r="BE21">
        <f t="shared" si="13"/>
        <v>19</v>
      </c>
      <c r="BF21">
        <f>MTFSI_LMP_GMX_UniqueMap!BV16</f>
        <v>0.41399999999999998</v>
      </c>
      <c r="BG21">
        <f>MTFSI_LMP_GMX_UniqueMap!BW16</f>
        <v>1.2430000000000001</v>
      </c>
      <c r="BH21">
        <f>MTFSI_LMP_GMX_UniqueMap!BX16</f>
        <v>0</v>
      </c>
      <c r="BI21">
        <f>MTFSI_LMP_GMX_UniqueMap!BY16</f>
        <v>-1.657</v>
      </c>
      <c r="BJ21">
        <f>MTFSI_LMP_GMX_UniqueMap!BZ16</f>
        <v>0</v>
      </c>
      <c r="BK21">
        <f>MTFSI_LMP_GMX_UniqueMap!CA16</f>
        <v>0</v>
      </c>
      <c r="BL21">
        <f t="shared" si="10"/>
        <v>0</v>
      </c>
      <c r="BM21" t="str">
        <f>MTFSI_LMP_GMX_UniqueMap!CB16&amp;"-"&amp;MTFSI_LMP_GMX_UniqueMap!CC16&amp;"-"&amp;MTFSI_LMP_GMX_UniqueMap!CD16&amp;"-"&amp;MTFSI_LMP_GMX_UniqueMap!CE16</f>
        <v>HMT-C1MT-O1MT-C2MT</v>
      </c>
      <c r="BP21" t="s">
        <v>261</v>
      </c>
      <c r="BQ21">
        <v>19</v>
      </c>
      <c r="BR21" s="7">
        <f>BR62</f>
        <v>1.3</v>
      </c>
      <c r="BS21" s="7">
        <f t="shared" ref="BS21:BU21" si="20">BS62</f>
        <v>-0.2</v>
      </c>
      <c r="BT21" s="7">
        <f t="shared" si="20"/>
        <v>0.2</v>
      </c>
      <c r="BU21" s="7">
        <f t="shared" si="20"/>
        <v>0</v>
      </c>
      <c r="BV21" s="7" t="s">
        <v>68</v>
      </c>
      <c r="BW21" s="7" t="s">
        <v>189</v>
      </c>
      <c r="BX21" s="7" t="s">
        <v>241</v>
      </c>
    </row>
    <row r="22" spans="2:76" x14ac:dyDescent="0.25">
      <c r="B22">
        <f>B21+1</f>
        <v>20</v>
      </c>
      <c r="C22" t="str">
        <f>VEC_LMP_GMX_UniqueMap!N5</f>
        <v>O2V</v>
      </c>
      <c r="D22">
        <f>VEC_LMP_GMX_UniqueMap!M5</f>
        <v>15.999000000000001</v>
      </c>
      <c r="E22" s="15">
        <f t="shared" si="0"/>
        <v>20</v>
      </c>
      <c r="F22" s="15">
        <f>VEC_LMP_GMX_UniqueMap!J5</f>
        <v>0.21</v>
      </c>
      <c r="G22" s="15">
        <f>VEC_LMP_GMX_UniqueMap!K5</f>
        <v>2.96</v>
      </c>
      <c r="H22" s="15" t="s">
        <v>68</v>
      </c>
      <c r="I22" s="15" t="s">
        <v>276</v>
      </c>
      <c r="K22" t="s">
        <v>262</v>
      </c>
      <c r="L22">
        <f t="shared" si="2"/>
        <v>20</v>
      </c>
      <c r="M22" s="9">
        <f t="shared" si="3"/>
        <v>20</v>
      </c>
      <c r="N22">
        <f t="shared" si="4"/>
        <v>0.21</v>
      </c>
      <c r="O22">
        <f t="shared" si="5"/>
        <v>2.96</v>
      </c>
      <c r="P22" s="10">
        <f t="shared" si="6"/>
        <v>7.4</v>
      </c>
      <c r="Q22" t="str">
        <f t="shared" si="7"/>
        <v># O2-VEC/Bulk</v>
      </c>
      <c r="U22">
        <f t="shared" si="11"/>
        <v>20</v>
      </c>
      <c r="V22">
        <f>VEC_LMP_GMX_UniqueMap!AB7</f>
        <v>0.15290000000000001</v>
      </c>
      <c r="W22">
        <f>VEC_LMP_GMX_UniqueMap!AC7</f>
        <v>224262.39999999999</v>
      </c>
      <c r="X22" t="str">
        <f>VEC_LMP_GMX_UniqueMap!AD7</f>
        <v>C1V</v>
      </c>
      <c r="Y22" t="str">
        <f>VEC_LMP_GMX_UniqueMap!AE7</f>
        <v>C1V</v>
      </c>
      <c r="Z22" t="str">
        <f t="shared" si="8"/>
        <v>C1V-C1V</v>
      </c>
      <c r="AB22" t="s">
        <v>254</v>
      </c>
      <c r="AC22">
        <v>20</v>
      </c>
      <c r="AD22" cm="1">
        <f t="array" ref="AD22">_xlfn.XLOOKUP(AG22,$Z$3:$Z$22,ROUND(0.00119502868*$W$3:$W$22,2))</f>
        <v>250</v>
      </c>
      <c r="AE22" cm="1">
        <f t="array" ref="AE22">_xlfn.XLOOKUP(AG22,$Z$3:$Z$22,ROUND(10*$V$3:$V$22,4))</f>
        <v>1.73</v>
      </c>
      <c r="AF22" t="s">
        <v>68</v>
      </c>
      <c r="AG22" t="s">
        <v>112</v>
      </c>
      <c r="AM22">
        <f t="shared" si="12"/>
        <v>20</v>
      </c>
      <c r="AN22">
        <f>MTFSI_LMP_GMX_UniqueMap!AU15</f>
        <v>111.1</v>
      </c>
      <c r="AO22">
        <f>MTFSI_LMP_GMX_UniqueMap!AV15</f>
        <v>527.18399999999997</v>
      </c>
      <c r="AP22" t="str">
        <f>MTFSI_LMP_GMX_UniqueMap!AW15</f>
        <v>C1MT</v>
      </c>
      <c r="AQ22" t="str">
        <f>MTFSI_LMP_GMX_UniqueMap!AX15</f>
        <v>C1MT</v>
      </c>
      <c r="AR22" t="str">
        <f>MTFSI_LMP_GMX_UniqueMap!AY15</f>
        <v>C2MT</v>
      </c>
      <c r="AS22" t="str">
        <f t="shared" si="9"/>
        <v>C1MT-C1MT-C2MT</v>
      </c>
      <c r="AU22" t="s">
        <v>257</v>
      </c>
      <c r="AV22">
        <v>20</v>
      </c>
      <c r="AW22" cm="1">
        <f t="array" ref="AW22">_xlfn.XLOOKUP(AZ22,$AS$3:$AS$37,ROUND(0.119502868*$AO$3:$AO$37,3))</f>
        <v>74</v>
      </c>
      <c r="AX22" cm="1">
        <f t="array" ref="AX22">_xlfn.XLOOKUP(AZ22,$AS$3:$AS$37,ROUND($AN$3:$AN$37,3))</f>
        <v>108.9</v>
      </c>
      <c r="AY22" t="s">
        <v>68</v>
      </c>
      <c r="AZ22" t="s">
        <v>148</v>
      </c>
      <c r="BE22">
        <f t="shared" si="13"/>
        <v>20</v>
      </c>
      <c r="BF22">
        <f>MTFSI_LMP_GMX_UniqueMap!BV17</f>
        <v>0</v>
      </c>
      <c r="BG22">
        <f>MTFSI_LMP_GMX_UniqueMap!BW17</f>
        <v>0</v>
      </c>
      <c r="BH22">
        <f>MTFSI_LMP_GMX_UniqueMap!BX17</f>
        <v>0</v>
      </c>
      <c r="BI22">
        <f>MTFSI_LMP_GMX_UniqueMap!BY17</f>
        <v>0</v>
      </c>
      <c r="BJ22">
        <f>MTFSI_LMP_GMX_UniqueMap!BZ17</f>
        <v>0</v>
      </c>
      <c r="BK22">
        <f>MTFSI_LMP_GMX_UniqueMap!CA17</f>
        <v>0</v>
      </c>
      <c r="BL22">
        <f t="shared" si="10"/>
        <v>0</v>
      </c>
      <c r="BM22" t="str">
        <f>MTFSI_LMP_GMX_UniqueMap!CB17&amp;"-"&amp;MTFSI_LMP_GMX_UniqueMap!CC17&amp;"-"&amp;MTFSI_LMP_GMX_UniqueMap!CD17&amp;"-"&amp;MTFSI_LMP_GMX_UniqueMap!CE17</f>
        <v>NMT-SMT-C1MT-C1MT</v>
      </c>
      <c r="BP22" t="s">
        <v>261</v>
      </c>
      <c r="BQ22">
        <v>20</v>
      </c>
      <c r="BR22" s="7">
        <f>BR11</f>
        <v>0</v>
      </c>
      <c r="BS22" s="7">
        <f t="shared" ref="BS22:BU22" si="21">BS11</f>
        <v>0</v>
      </c>
      <c r="BT22" s="7">
        <f t="shared" si="21"/>
        <v>0.3</v>
      </c>
      <c r="BU22" s="7">
        <f t="shared" si="21"/>
        <v>0</v>
      </c>
      <c r="BV22" s="7" t="s">
        <v>68</v>
      </c>
      <c r="BW22" s="7" t="s">
        <v>190</v>
      </c>
      <c r="BX22" s="7" t="str">
        <f>"Same as "&amp;BW11</f>
        <v>Same as C1MT-C1MT-C1MT-HMT</v>
      </c>
    </row>
    <row r="23" spans="2:76" x14ac:dyDescent="0.25">
      <c r="B23">
        <f t="shared" ref="B23:B24" si="22">B22+1</f>
        <v>21</v>
      </c>
      <c r="C23" t="str">
        <f>MTFSI_LMP_GMX_UniqueMap!N9</f>
        <v>O3MT</v>
      </c>
      <c r="D23">
        <f>MTFSI_LMP_GMX_UniqueMap!M9</f>
        <v>15.999000000000001</v>
      </c>
      <c r="E23" s="15">
        <f t="shared" si="0"/>
        <v>21</v>
      </c>
      <c r="F23" s="15">
        <f>MTFSI_LMP_GMX_UniqueMap!J9</f>
        <v>0.17</v>
      </c>
      <c r="G23" s="15">
        <f>MTFSI_LMP_GMX_UniqueMap!K9</f>
        <v>2.96</v>
      </c>
      <c r="H23" s="15" t="s">
        <v>68</v>
      </c>
      <c r="I23" s="15" t="s">
        <v>84</v>
      </c>
      <c r="K23" t="s">
        <v>262</v>
      </c>
      <c r="L23">
        <f t="shared" si="2"/>
        <v>21</v>
      </c>
      <c r="M23" s="9">
        <f t="shared" si="3"/>
        <v>21</v>
      </c>
      <c r="N23">
        <f t="shared" si="4"/>
        <v>0.17</v>
      </c>
      <c r="O23">
        <f t="shared" si="5"/>
        <v>2.96</v>
      </c>
      <c r="P23" s="10">
        <f t="shared" si="6"/>
        <v>7.4</v>
      </c>
      <c r="Q23" t="str">
        <f t="shared" si="7"/>
        <v># O3-MT/Bulk</v>
      </c>
      <c r="AB23" t="s">
        <v>254</v>
      </c>
      <c r="AC23">
        <v>21</v>
      </c>
      <c r="AD23" cm="1">
        <f t="array" ref="AD23">_xlfn.XLOOKUP(AG23,$Z$3:$Z$22,ROUND(0.00119502868*$W$3:$W$22,2))</f>
        <v>700</v>
      </c>
      <c r="AE23" cm="1">
        <f t="array" ref="AE23">_xlfn.XLOOKUP(AG23,$Z$3:$Z$22,ROUND(10*$V$3:$V$22,4))</f>
        <v>1.44</v>
      </c>
      <c r="AF23" t="s">
        <v>68</v>
      </c>
      <c r="AG23" t="s">
        <v>113</v>
      </c>
      <c r="AM23">
        <f t="shared" si="12"/>
        <v>21</v>
      </c>
      <c r="AN23">
        <f>MTFSI_LMP_GMX_UniqueMap!AU16</f>
        <v>111.4</v>
      </c>
      <c r="AO23">
        <f>MTFSI_LMP_GMX_UniqueMap!AV16</f>
        <v>677.80799999999999</v>
      </c>
      <c r="AP23" t="str">
        <f>MTFSI_LMP_GMX_UniqueMap!AW16</f>
        <v>C1MT</v>
      </c>
      <c r="AQ23" t="str">
        <f>MTFSI_LMP_GMX_UniqueMap!AX16</f>
        <v>C2MT</v>
      </c>
      <c r="AR23" t="str">
        <f>MTFSI_LMP_GMX_UniqueMap!AY16</f>
        <v>O1MT</v>
      </c>
      <c r="AS23" t="str">
        <f t="shared" si="9"/>
        <v>C1MT-C2MT-O1MT</v>
      </c>
      <c r="AU23" t="s">
        <v>257</v>
      </c>
      <c r="AV23">
        <v>21</v>
      </c>
      <c r="AW23" s="7">
        <f>AW12</f>
        <v>63</v>
      </c>
      <c r="AX23" s="7">
        <f>AX12</f>
        <v>111.1</v>
      </c>
      <c r="AY23" s="7" t="s">
        <v>68</v>
      </c>
      <c r="AZ23" s="7" t="s">
        <v>149</v>
      </c>
      <c r="BA23" s="7" t="s">
        <v>174</v>
      </c>
      <c r="BE23">
        <f t="shared" si="13"/>
        <v>21</v>
      </c>
      <c r="BF23">
        <f>MTFSI_LMP_GMX_UniqueMap!BV18</f>
        <v>0</v>
      </c>
      <c r="BG23">
        <f>MTFSI_LMP_GMX_UniqueMap!BW18</f>
        <v>0</v>
      </c>
      <c r="BH23">
        <f>MTFSI_LMP_GMX_UniqueMap!BX18</f>
        <v>0</v>
      </c>
      <c r="BI23">
        <f>MTFSI_LMP_GMX_UniqueMap!BY18</f>
        <v>0</v>
      </c>
      <c r="BJ23">
        <f>MTFSI_LMP_GMX_UniqueMap!BZ18</f>
        <v>0</v>
      </c>
      <c r="BK23">
        <f>MTFSI_LMP_GMX_UniqueMap!CA18</f>
        <v>0</v>
      </c>
      <c r="BL23">
        <f t="shared" si="10"/>
        <v>0</v>
      </c>
      <c r="BM23" t="str">
        <f>MTFSI_LMP_GMX_UniqueMap!CB18&amp;"-"&amp;MTFSI_LMP_GMX_UniqueMap!CC18&amp;"-"&amp;MTFSI_LMP_GMX_UniqueMap!CD18&amp;"-"&amp;MTFSI_LMP_GMX_UniqueMap!CE18</f>
        <v>NMT-SMT-C1MT-HMT</v>
      </c>
      <c r="BP23" t="s">
        <v>261</v>
      </c>
      <c r="BQ23">
        <v>21</v>
      </c>
      <c r="BR23" s="8">
        <f>BR12</f>
        <v>1.7110000000000001</v>
      </c>
      <c r="BS23" s="8">
        <f t="shared" ref="BS23:BU23" si="23">BS12</f>
        <v>-0.5</v>
      </c>
      <c r="BT23" s="8">
        <f t="shared" si="23"/>
        <v>0.66300000000000003</v>
      </c>
      <c r="BU23" s="8">
        <f t="shared" si="23"/>
        <v>0</v>
      </c>
      <c r="BV23" s="8" t="s">
        <v>68</v>
      </c>
      <c r="BW23" s="8" t="s">
        <v>191</v>
      </c>
      <c r="BX23" s="8" t="str">
        <f>"Same as "&amp;BW12</f>
        <v>Same as C1MT-C1MT-C1MT-O1MT</v>
      </c>
    </row>
    <row r="24" spans="2:76" x14ac:dyDescent="0.25">
      <c r="B24">
        <f t="shared" si="22"/>
        <v>22</v>
      </c>
      <c r="C24" t="str">
        <f>MTFSI_LMP_GMX_UniqueMap!N11</f>
        <v>SMT</v>
      </c>
      <c r="D24">
        <f>MTFSI_LMP_GMX_UniqueMap!M11</f>
        <v>32.06</v>
      </c>
      <c r="E24" s="15">
        <f t="shared" si="0"/>
        <v>22</v>
      </c>
      <c r="F24" s="15">
        <f>MTFSI_LMP_GMX_UniqueMap!J11</f>
        <v>0.25</v>
      </c>
      <c r="G24" s="15">
        <f>MTFSI_LMP_GMX_UniqueMap!K11</f>
        <v>3.55</v>
      </c>
      <c r="H24" s="15" t="s">
        <v>68</v>
      </c>
      <c r="I24" s="15" t="s">
        <v>85</v>
      </c>
      <c r="K24" t="s">
        <v>262</v>
      </c>
      <c r="L24">
        <f t="shared" si="2"/>
        <v>22</v>
      </c>
      <c r="M24" s="9">
        <f t="shared" si="3"/>
        <v>22</v>
      </c>
      <c r="N24">
        <f t="shared" si="4"/>
        <v>0.25</v>
      </c>
      <c r="O24">
        <f t="shared" si="5"/>
        <v>3.55</v>
      </c>
      <c r="P24" s="10">
        <f t="shared" si="6"/>
        <v>8.875</v>
      </c>
      <c r="Q24" t="str">
        <f t="shared" si="7"/>
        <v># S-MT/Bulk</v>
      </c>
      <c r="AM24">
        <f t="shared" si="12"/>
        <v>22</v>
      </c>
      <c r="AN24">
        <f>MTFSI_LMP_GMX_UniqueMap!AU17</f>
        <v>112.7</v>
      </c>
      <c r="AO24">
        <f>MTFSI_LMP_GMX_UniqueMap!AV17</f>
        <v>488.27300000000002</v>
      </c>
      <c r="AP24" t="str">
        <f>MTFSI_LMP_GMX_UniqueMap!AW17</f>
        <v>C1MT</v>
      </c>
      <c r="AQ24" t="str">
        <f>MTFSI_LMP_GMX_UniqueMap!AX17</f>
        <v>C1MT</v>
      </c>
      <c r="AR24" t="str">
        <f>MTFSI_LMP_GMX_UniqueMap!AY17</f>
        <v>C1MT</v>
      </c>
      <c r="AS24" t="str">
        <f t="shared" si="9"/>
        <v>C1MT-C1MT-C1MT</v>
      </c>
      <c r="AU24" t="s">
        <v>257</v>
      </c>
      <c r="AV24">
        <v>22</v>
      </c>
      <c r="AW24" s="7">
        <f>AW3</f>
        <v>37.5</v>
      </c>
      <c r="AX24" s="7">
        <f>AX3</f>
        <v>110.7</v>
      </c>
      <c r="AY24" s="7" t="s">
        <v>68</v>
      </c>
      <c r="AZ24" s="7" t="s">
        <v>150</v>
      </c>
      <c r="BA24" s="7" t="s">
        <v>175</v>
      </c>
      <c r="BE24">
        <f t="shared" si="13"/>
        <v>22</v>
      </c>
      <c r="BF24">
        <f>MTFSI_LMP_GMX_UniqueMap!BV19</f>
        <v>0</v>
      </c>
      <c r="BG24">
        <f>MTFSI_LMP_GMX_UniqueMap!BW19</f>
        <v>0</v>
      </c>
      <c r="BH24">
        <f>MTFSI_LMP_GMX_UniqueMap!BX19</f>
        <v>0</v>
      </c>
      <c r="BI24">
        <f>MTFSI_LMP_GMX_UniqueMap!BY19</f>
        <v>0</v>
      </c>
      <c r="BJ24">
        <f>MTFSI_LMP_GMX_UniqueMap!BZ19</f>
        <v>0</v>
      </c>
      <c r="BK24">
        <f>MTFSI_LMP_GMX_UniqueMap!CA19</f>
        <v>0</v>
      </c>
      <c r="BL24">
        <f t="shared" si="10"/>
        <v>0</v>
      </c>
      <c r="BM24" t="str">
        <f>MTFSI_LMP_GMX_UniqueMap!CB19&amp;"-"&amp;MTFSI_LMP_GMX_UniqueMap!CC19&amp;"-"&amp;MTFSI_LMP_GMX_UniqueMap!CD19&amp;"-"&amp;MTFSI_LMP_GMX_UniqueMap!CE19</f>
        <v>O2MT-C2MT-C1MT-C1MT</v>
      </c>
      <c r="BP24" t="s">
        <v>261</v>
      </c>
      <c r="BQ24">
        <v>22</v>
      </c>
      <c r="BR24" cm="1">
        <f t="array" ref="BR24">ROUND(0.239005736*(-2*_xlfn.XLOOKUP(BW24,$BM$3:$BM$54,ROUND($BG$3:$BG$54,5)) - 1.5*_xlfn.XLOOKUP(BW24,$BM$3:$BM$54,ROUND($BI$3:$BI$54,5))),3)</f>
        <v>4.6689999999999996</v>
      </c>
      <c r="BS24" cm="1">
        <f t="array" ref="BS24">ROUND(0.239005736*(_xlfn.XLOOKUP(BW24,$BM$3:$BM$54,ROUND($BF$3:$BF$54,5)) + _xlfn.XLOOKUP(BW24,$BM$3:$BM$54,ROUND($BG$3:$BG$54,5)) + _xlfn.XLOOKUP(BW24,$BM$3:$BM$54,ROUND($BI$3:$BI$54,5))),3)</f>
        <v>5.1239999999999997</v>
      </c>
      <c r="BT24" cm="1">
        <f t="array" ref="BT24">ROUND(0.239005736*(-0.5*_xlfn.XLOOKUP(BW24,$BM$3:$BM$54,ROUND($BI$3:$BI$54,5))),3)</f>
        <v>0</v>
      </c>
      <c r="BU24" cm="1">
        <f t="array" ref="BU24">ROUND(0.239005736*(-0.25*_xlfn.XLOOKUP(BW24,$BM$3:$BM$54,ROUND($BJ$3:$BJ$54,5))),3)</f>
        <v>0</v>
      </c>
      <c r="BV24" t="s">
        <v>68</v>
      </c>
      <c r="BW24" t="s">
        <v>229</v>
      </c>
      <c r="BX24" t="str">
        <f t="shared" ref="BX24" si="24">BW24</f>
        <v>C1MT-O1MT-C2MT-C1MT</v>
      </c>
    </row>
    <row r="25" spans="2:76" x14ac:dyDescent="0.25">
      <c r="M25" s="9"/>
      <c r="AC25" s="16" t="s">
        <v>269</v>
      </c>
      <c r="AM25">
        <f t="shared" si="12"/>
        <v>23</v>
      </c>
      <c r="AN25">
        <f>MTFSI_LMP_GMX_UniqueMap!AU18</f>
        <v>116.57</v>
      </c>
      <c r="AO25">
        <f>MTFSI_LMP_GMX_UniqueMap!AV18</f>
        <v>504.25599999999997</v>
      </c>
      <c r="AP25" t="str">
        <f>MTFSI_LMP_GMX_UniqueMap!AW18</f>
        <v>SMT</v>
      </c>
      <c r="AQ25" t="str">
        <f>MTFSI_LMP_GMX_UniqueMap!AX18</f>
        <v>NMT</v>
      </c>
      <c r="AR25" t="str">
        <f>MTFSI_LMP_GMX_UniqueMap!AY18</f>
        <v>SMT</v>
      </c>
      <c r="AS25" t="str">
        <f t="shared" si="9"/>
        <v>SMT-NMT-SMT</v>
      </c>
      <c r="AU25" t="s">
        <v>257</v>
      </c>
      <c r="AV25">
        <v>23</v>
      </c>
      <c r="AW25" cm="1">
        <f t="array" ref="AW25">_xlfn.XLOOKUP(AZ25,$AS$3:$AS$37,ROUND(0.119502868*$AO$3:$AO$37,3))</f>
        <v>58.35</v>
      </c>
      <c r="AX25" cm="1">
        <f t="array" ref="AX25">_xlfn.XLOOKUP(AZ25,$AS$3:$AS$37,ROUND($AN$3:$AN$37,3))</f>
        <v>112.7</v>
      </c>
      <c r="AY25" t="s">
        <v>68</v>
      </c>
      <c r="AZ25" t="s">
        <v>151</v>
      </c>
      <c r="BE25">
        <f t="shared" si="13"/>
        <v>23</v>
      </c>
      <c r="BF25">
        <f>MTFSI_LMP_GMX_UniqueMap!BV20</f>
        <v>0</v>
      </c>
      <c r="BG25">
        <f>MTFSI_LMP_GMX_UniqueMap!BW20</f>
        <v>0</v>
      </c>
      <c r="BH25">
        <f>MTFSI_LMP_GMX_UniqueMap!BX20</f>
        <v>0</v>
      </c>
      <c r="BI25">
        <f>MTFSI_LMP_GMX_UniqueMap!BY20</f>
        <v>0</v>
      </c>
      <c r="BJ25">
        <f>MTFSI_LMP_GMX_UniqueMap!BZ20</f>
        <v>0</v>
      </c>
      <c r="BK25">
        <f>MTFSI_LMP_GMX_UniqueMap!CA20</f>
        <v>0</v>
      </c>
      <c r="BL25">
        <f t="shared" si="10"/>
        <v>0</v>
      </c>
      <c r="BM25" t="str">
        <f>MTFSI_LMP_GMX_UniqueMap!CB20&amp;"-"&amp;MTFSI_LMP_GMX_UniqueMap!CC20&amp;"-"&amp;MTFSI_LMP_GMX_UniqueMap!CD20&amp;"-"&amp;MTFSI_LMP_GMX_UniqueMap!CE20</f>
        <v>O2MT-C2MT-C1MT-HMT</v>
      </c>
      <c r="BP25" t="s">
        <v>261</v>
      </c>
      <c r="BQ25">
        <v>23</v>
      </c>
      <c r="BR25" s="7">
        <f>BR62</f>
        <v>1.3</v>
      </c>
      <c r="BS25" s="7">
        <f t="shared" ref="BS25:BU26" si="25">BS62</f>
        <v>-0.2</v>
      </c>
      <c r="BT25" s="7">
        <f t="shared" si="25"/>
        <v>0.2</v>
      </c>
      <c r="BU25" s="7">
        <f t="shared" si="25"/>
        <v>0</v>
      </c>
      <c r="BV25" s="7" t="s">
        <v>68</v>
      </c>
      <c r="BW25" s="7" t="s">
        <v>192</v>
      </c>
      <c r="BX25" s="7" t="s">
        <v>241</v>
      </c>
    </row>
    <row r="26" spans="2:76" x14ac:dyDescent="0.25">
      <c r="M26" s="9"/>
      <c r="AM26">
        <f t="shared" si="12"/>
        <v>24</v>
      </c>
      <c r="AN26">
        <f>MTFSI_LMP_GMX_UniqueMap!AU19</f>
        <v>116.9</v>
      </c>
      <c r="AO26">
        <f>MTFSI_LMP_GMX_UniqueMap!AV19</f>
        <v>694.54399999999998</v>
      </c>
      <c r="AP26" t="str">
        <f>MTFSI_LMP_GMX_UniqueMap!AW19</f>
        <v>C2MT</v>
      </c>
      <c r="AQ26" t="str">
        <f>MTFSI_LMP_GMX_UniqueMap!AX19</f>
        <v>O1MT</v>
      </c>
      <c r="AR26" t="str">
        <f>MTFSI_LMP_GMX_UniqueMap!AY19</f>
        <v>C1MT</v>
      </c>
      <c r="AS26" t="str">
        <f t="shared" si="9"/>
        <v>C2MT-O1MT-C1MT</v>
      </c>
      <c r="AU26" t="s">
        <v>257</v>
      </c>
      <c r="AV26">
        <v>24</v>
      </c>
      <c r="AW26" cm="1">
        <f t="array" ref="AW26">_xlfn.XLOOKUP(AZ26,$AS$3:$AS$37,ROUND(0.119502868*$AO$3:$AO$37,3))</f>
        <v>37.5</v>
      </c>
      <c r="AX26" cm="1">
        <f t="array" ref="AX26">_xlfn.XLOOKUP(AZ26,$AS$3:$AS$37,ROUND($AN$3:$AN$37,3))</f>
        <v>110.7</v>
      </c>
      <c r="AY26" t="s">
        <v>68</v>
      </c>
      <c r="AZ26" t="s">
        <v>168</v>
      </c>
      <c r="BE26">
        <f t="shared" si="13"/>
        <v>24</v>
      </c>
      <c r="BF26">
        <f>MTFSI_LMP_GMX_UniqueMap!BV21</f>
        <v>-1.157</v>
      </c>
      <c r="BG26">
        <f>MTFSI_LMP_GMX_UniqueMap!BW21</f>
        <v>-3.4710000000000001</v>
      </c>
      <c r="BH26">
        <f>MTFSI_LMP_GMX_UniqueMap!BX21</f>
        <v>0</v>
      </c>
      <c r="BI26">
        <f>MTFSI_LMP_GMX_UniqueMap!BY21</f>
        <v>4.6280000000000001</v>
      </c>
      <c r="BJ26">
        <f>MTFSI_LMP_GMX_UniqueMap!BZ21</f>
        <v>0</v>
      </c>
      <c r="BK26">
        <f>MTFSI_LMP_GMX_UniqueMap!CA21</f>
        <v>0</v>
      </c>
      <c r="BL26">
        <f t="shared" si="10"/>
        <v>0</v>
      </c>
      <c r="BM26" t="str">
        <f>MTFSI_LMP_GMX_UniqueMap!CB21&amp;"-"&amp;MTFSI_LMP_GMX_UniqueMap!CC21&amp;"-"&amp;MTFSI_LMP_GMX_UniqueMap!CD21&amp;"-"&amp;MTFSI_LMP_GMX_UniqueMap!CE21</f>
        <v>O1MT-C2MT-C1MT-C1MT</v>
      </c>
      <c r="BP26" t="s">
        <v>261</v>
      </c>
      <c r="BQ26">
        <v>24</v>
      </c>
      <c r="BR26" s="7">
        <f>BR63</f>
        <v>-2.06</v>
      </c>
      <c r="BS26" s="7">
        <f t="shared" si="25"/>
        <v>-0.313</v>
      </c>
      <c r="BT26" s="7">
        <f t="shared" si="25"/>
        <v>0.315</v>
      </c>
      <c r="BU26" s="7">
        <f t="shared" si="25"/>
        <v>0</v>
      </c>
      <c r="BV26" s="7" t="s">
        <v>68</v>
      </c>
      <c r="BW26" s="7" t="s">
        <v>193</v>
      </c>
      <c r="BX26" s="7" t="s">
        <v>242</v>
      </c>
    </row>
    <row r="27" spans="2:76" x14ac:dyDescent="0.25">
      <c r="M27" s="9"/>
      <c r="AM27">
        <f t="shared" si="12"/>
        <v>25</v>
      </c>
      <c r="AN27">
        <f>MTFSI_LMP_GMX_UniqueMap!AU20</f>
        <v>119</v>
      </c>
      <c r="AO27">
        <f>MTFSI_LMP_GMX_UniqueMap!AV20</f>
        <v>870.27200000000005</v>
      </c>
      <c r="AP27" t="str">
        <f>MTFSI_LMP_GMX_UniqueMap!AW20</f>
        <v>O3MT</v>
      </c>
      <c r="AQ27" t="str">
        <f>MTFSI_LMP_GMX_UniqueMap!AX20</f>
        <v>SMT</v>
      </c>
      <c r="AR27" t="str">
        <f>MTFSI_LMP_GMX_UniqueMap!AY20</f>
        <v>O3MT</v>
      </c>
      <c r="AS27" t="str">
        <f t="shared" si="9"/>
        <v>O3MT-SMT-O3MT</v>
      </c>
      <c r="AU27" t="s">
        <v>257</v>
      </c>
      <c r="AV27">
        <v>25</v>
      </c>
      <c r="AW27" cm="1">
        <f t="array" ref="AW27">_xlfn.XLOOKUP(AZ27,$AS$3:$AS$37,ROUND(0.119502868*$AO$3:$AO$37,3))</f>
        <v>50</v>
      </c>
      <c r="AX27" cm="1">
        <f t="array" ref="AX27">_xlfn.XLOOKUP(AZ27,$AS$3:$AS$37,ROUND($AN$3:$AN$37,3))</f>
        <v>109.5</v>
      </c>
      <c r="AY27" t="s">
        <v>68</v>
      </c>
      <c r="AZ27" t="s">
        <v>152</v>
      </c>
      <c r="BE27">
        <f t="shared" si="13"/>
        <v>25</v>
      </c>
      <c r="BF27">
        <f>MTFSI_LMP_GMX_UniqueMap!BV22</f>
        <v>0.27600000000000002</v>
      </c>
      <c r="BG27">
        <f>MTFSI_LMP_GMX_UniqueMap!BW22</f>
        <v>0.82799999999999996</v>
      </c>
      <c r="BH27">
        <f>MTFSI_LMP_GMX_UniqueMap!BX22</f>
        <v>0</v>
      </c>
      <c r="BI27">
        <f>MTFSI_LMP_GMX_UniqueMap!BY22</f>
        <v>-1.105</v>
      </c>
      <c r="BJ27">
        <f>MTFSI_LMP_GMX_UniqueMap!BZ22</f>
        <v>0</v>
      </c>
      <c r="BK27">
        <f>MTFSI_LMP_GMX_UniqueMap!CA22</f>
        <v>0</v>
      </c>
      <c r="BL27">
        <f t="shared" si="10"/>
        <v>-9.9999999999988987E-4</v>
      </c>
      <c r="BM27" t="str">
        <f>MTFSI_LMP_GMX_UniqueMap!CB22&amp;"-"&amp;MTFSI_LMP_GMX_UniqueMap!CC22&amp;"-"&amp;MTFSI_LMP_GMX_UniqueMap!CD22&amp;"-"&amp;MTFSI_LMP_GMX_UniqueMap!CE22</f>
        <v>O1MT-C2MT-C1MT-HMT</v>
      </c>
      <c r="BP27" t="s">
        <v>261</v>
      </c>
      <c r="BQ27">
        <v>25</v>
      </c>
      <c r="BR27" s="7">
        <f>BR11</f>
        <v>0</v>
      </c>
      <c r="BS27" s="7">
        <f t="shared" ref="BS27:BU27" si="26">BS11</f>
        <v>0</v>
      </c>
      <c r="BT27" s="7">
        <f t="shared" si="26"/>
        <v>0.3</v>
      </c>
      <c r="BU27" s="7">
        <f t="shared" si="26"/>
        <v>0</v>
      </c>
      <c r="BV27" s="7" t="s">
        <v>68</v>
      </c>
      <c r="BW27" s="7" t="s">
        <v>194</v>
      </c>
      <c r="BX27" s="7" t="str">
        <f>"Same as "&amp;BW11</f>
        <v>Same as C1MT-C1MT-C1MT-HMT</v>
      </c>
    </row>
    <row r="28" spans="2:76" x14ac:dyDescent="0.25">
      <c r="F28" s="20" t="s">
        <v>270</v>
      </c>
      <c r="G28" s="20"/>
      <c r="H28" s="20"/>
      <c r="I28" s="20"/>
      <c r="M28" s="9"/>
      <c r="AM28">
        <f t="shared" si="12"/>
        <v>26</v>
      </c>
      <c r="AN28">
        <f>MTFSI_LMP_GMX_UniqueMap!AU21</f>
        <v>120.4</v>
      </c>
      <c r="AO28">
        <f>MTFSI_LMP_GMX_UniqueMap!AV21</f>
        <v>669.44</v>
      </c>
      <c r="AP28" t="str">
        <f>MTFSI_LMP_GMX_UniqueMap!AW21</f>
        <v>C1MT</v>
      </c>
      <c r="AQ28" t="str">
        <f>MTFSI_LMP_GMX_UniqueMap!AX21</f>
        <v>C2MT</v>
      </c>
      <c r="AR28" t="str">
        <f>MTFSI_LMP_GMX_UniqueMap!AY21</f>
        <v>O2MT</v>
      </c>
      <c r="AS28" t="str">
        <f t="shared" si="9"/>
        <v>C1MT-C2MT-O2MT</v>
      </c>
      <c r="AU28" t="s">
        <v>257</v>
      </c>
      <c r="AV28">
        <v>26</v>
      </c>
      <c r="AW28" cm="1">
        <f t="array" ref="AW28">_xlfn.XLOOKUP(AZ28,$AS$3:$AS$37,ROUND(0.119502868*$AO$3:$AO$37,3))</f>
        <v>83</v>
      </c>
      <c r="AX28" cm="1">
        <f t="array" ref="AX28">_xlfn.XLOOKUP(AZ28,$AS$3:$AS$37,ROUND($AN$3:$AN$37,3))</f>
        <v>116.9</v>
      </c>
      <c r="AY28" t="s">
        <v>68</v>
      </c>
      <c r="AZ28" t="s">
        <v>153</v>
      </c>
      <c r="BE28">
        <f t="shared" si="13"/>
        <v>26</v>
      </c>
      <c r="BF28">
        <f>MTFSI_LMP_GMX_UniqueMap!BV23</f>
        <v>0</v>
      </c>
      <c r="BG28">
        <f>MTFSI_LMP_GMX_UniqueMap!BW23</f>
        <v>0</v>
      </c>
      <c r="BH28">
        <f>MTFSI_LMP_GMX_UniqueMap!BX23</f>
        <v>0</v>
      </c>
      <c r="BI28">
        <f>MTFSI_LMP_GMX_UniqueMap!BY23</f>
        <v>0</v>
      </c>
      <c r="BJ28">
        <f>MTFSI_LMP_GMX_UniqueMap!BZ23</f>
        <v>0</v>
      </c>
      <c r="BK28">
        <f>MTFSI_LMP_GMX_UniqueMap!CA23</f>
        <v>0</v>
      </c>
      <c r="BL28">
        <f t="shared" si="10"/>
        <v>0</v>
      </c>
      <c r="BM28" t="str">
        <f>MTFSI_LMP_GMX_UniqueMap!CB23&amp;"-"&amp;MTFSI_LMP_GMX_UniqueMap!CC23&amp;"-"&amp;MTFSI_LMP_GMX_UniqueMap!CD23&amp;"-"&amp;MTFSI_LMP_GMX_UniqueMap!CE23</f>
        <v>O3MT-SMT-C1MT-C1MT</v>
      </c>
      <c r="BP28" t="s">
        <v>261</v>
      </c>
      <c r="BQ28">
        <v>26</v>
      </c>
      <c r="BR28" s="7">
        <f>BR16</f>
        <v>0</v>
      </c>
      <c r="BS28" s="7">
        <f t="shared" ref="BS28:BU28" si="27">BS16</f>
        <v>0</v>
      </c>
      <c r="BT28" s="7">
        <f t="shared" si="27"/>
        <v>-0.55300000000000005</v>
      </c>
      <c r="BU28" s="7">
        <f t="shared" si="27"/>
        <v>0</v>
      </c>
      <c r="BV28" s="7" t="s">
        <v>68</v>
      </c>
      <c r="BW28" s="7" t="s">
        <v>195</v>
      </c>
      <c r="BX28" s="7" t="str">
        <f>"Same as "&amp;BW16</f>
        <v>Same as O1MT-C2MT-C1MT-C1MT</v>
      </c>
    </row>
    <row r="29" spans="2:76" x14ac:dyDescent="0.25">
      <c r="M29" s="9"/>
      <c r="AM29">
        <f t="shared" si="12"/>
        <v>27</v>
      </c>
      <c r="AN29">
        <f>MTFSI_LMP_GMX_UniqueMap!AU22</f>
        <v>123.4</v>
      </c>
      <c r="AO29">
        <f>MTFSI_LMP_GMX_UniqueMap!AV22</f>
        <v>694.54399999999998</v>
      </c>
      <c r="AP29" t="str">
        <f>MTFSI_LMP_GMX_UniqueMap!AW22</f>
        <v>O1MT</v>
      </c>
      <c r="AQ29" t="str">
        <f>MTFSI_LMP_GMX_UniqueMap!AX22</f>
        <v>C2MT</v>
      </c>
      <c r="AR29" t="str">
        <f>MTFSI_LMP_GMX_UniqueMap!AY22</f>
        <v>O2MT</v>
      </c>
      <c r="AS29" t="str">
        <f t="shared" si="9"/>
        <v>O1MT-C2MT-O2MT</v>
      </c>
      <c r="AU29" t="s">
        <v>257</v>
      </c>
      <c r="AV29">
        <v>27</v>
      </c>
      <c r="AW29" cm="1">
        <f t="array" ref="AW29">_xlfn.XLOOKUP(AZ29,$AS$3:$AS$37,ROUND(0.119502868*$AO$3:$AO$37,3))</f>
        <v>77</v>
      </c>
      <c r="AX29" cm="1">
        <f t="array" ref="AX29">_xlfn.XLOOKUP(AZ29,$AS$3:$AS$37,ROUND($AN$3:$AN$37,3))</f>
        <v>109.1</v>
      </c>
      <c r="AY29" t="s">
        <v>68</v>
      </c>
      <c r="AZ29" t="s">
        <v>154</v>
      </c>
      <c r="BE29">
        <f t="shared" si="13"/>
        <v>27</v>
      </c>
      <c r="BF29">
        <f>MTFSI_LMP_GMX_UniqueMap!BV24</f>
        <v>0.73199999999999998</v>
      </c>
      <c r="BG29">
        <f>MTFSI_LMP_GMX_UniqueMap!BW24</f>
        <v>2.1970000000000001</v>
      </c>
      <c r="BH29">
        <f>MTFSI_LMP_GMX_UniqueMap!BX24</f>
        <v>0</v>
      </c>
      <c r="BI29">
        <f>MTFSI_LMP_GMX_UniqueMap!BY24</f>
        <v>-2.9289999999999998</v>
      </c>
      <c r="BJ29">
        <f>MTFSI_LMP_GMX_UniqueMap!BZ24</f>
        <v>0</v>
      </c>
      <c r="BK29">
        <f>MTFSI_LMP_GMX_UniqueMap!CA24</f>
        <v>0</v>
      </c>
      <c r="BL29">
        <f t="shared" si="10"/>
        <v>4.4408920985006262E-16</v>
      </c>
      <c r="BM29" t="str">
        <f>MTFSI_LMP_GMX_UniqueMap!CB24&amp;"-"&amp;MTFSI_LMP_GMX_UniqueMap!CC24&amp;"-"&amp;MTFSI_LMP_GMX_UniqueMap!CD24&amp;"-"&amp;MTFSI_LMP_GMX_UniqueMap!CE24</f>
        <v>O3MT-SMT-C1MT-HMT</v>
      </c>
      <c r="BP29" t="s">
        <v>261</v>
      </c>
      <c r="BQ29">
        <v>27</v>
      </c>
      <c r="BR29" s="7">
        <f>BR17</f>
        <v>0</v>
      </c>
      <c r="BS29" s="7">
        <f t="shared" ref="BS29:BU29" si="28">BS17</f>
        <v>0</v>
      </c>
      <c r="BT29" s="7">
        <f t="shared" si="28"/>
        <v>0</v>
      </c>
      <c r="BU29" s="7">
        <f t="shared" si="28"/>
        <v>0</v>
      </c>
      <c r="BV29" s="7" t="s">
        <v>68</v>
      </c>
      <c r="BW29" s="7" t="s">
        <v>196</v>
      </c>
      <c r="BX29" s="7" t="str">
        <f>"Same as "&amp;BW17</f>
        <v>Same as O2MT-C2MT-C1MT-C1MT</v>
      </c>
    </row>
    <row r="30" spans="2:76" x14ac:dyDescent="0.25">
      <c r="B30" s="17">
        <v>23</v>
      </c>
      <c r="C30" s="17" t="str">
        <f>C7</f>
        <v>LP</v>
      </c>
      <c r="D30" s="17">
        <f>D7</f>
        <v>6.9409999999999998</v>
      </c>
      <c r="E30" s="17">
        <f>B30</f>
        <v>23</v>
      </c>
      <c r="F30" s="17">
        <f>F7</f>
        <v>0.4</v>
      </c>
      <c r="G30" s="17">
        <f>G7</f>
        <v>1.4</v>
      </c>
      <c r="H30" s="17" t="str">
        <f>H7</f>
        <v>#</v>
      </c>
      <c r="I30" s="17" t="s">
        <v>268</v>
      </c>
      <c r="M30" s="9"/>
      <c r="AM30">
        <f t="shared" si="12"/>
        <v>28</v>
      </c>
      <c r="AN30">
        <f>VEC_LMP_GMX_UniqueMap!AU3</f>
        <v>107.8</v>
      </c>
      <c r="AO30">
        <f>VEC_LMP_GMX_UniqueMap!AV3</f>
        <v>276.14400000000001</v>
      </c>
      <c r="AP30" t="str">
        <f>VEC_LMP_GMX_UniqueMap!AW3</f>
        <v>HV</v>
      </c>
      <c r="AQ30" t="str">
        <f>VEC_LMP_GMX_UniqueMap!AX3</f>
        <v>C1V</v>
      </c>
      <c r="AR30" t="str">
        <f>VEC_LMP_GMX_UniqueMap!AY3</f>
        <v>HV</v>
      </c>
      <c r="AS30" t="str">
        <f t="shared" si="9"/>
        <v>HV-C1V-HV</v>
      </c>
      <c r="AU30" t="s">
        <v>257</v>
      </c>
      <c r="AV30">
        <v>28</v>
      </c>
      <c r="AW30" cm="1">
        <f t="array" ref="AW30">_xlfn.XLOOKUP(AZ30,$AS$3:$AS$37,ROUND(0.119502868*$AO$3:$AO$37,3))</f>
        <v>50</v>
      </c>
      <c r="AX30" cm="1">
        <f t="array" ref="AX30">_xlfn.XLOOKUP(AZ30,$AS$3:$AS$37,ROUND($AN$3:$AN$37,3))</f>
        <v>109.5</v>
      </c>
      <c r="AY30" t="s">
        <v>68</v>
      </c>
      <c r="AZ30" t="s">
        <v>169</v>
      </c>
      <c r="BE30">
        <f t="shared" si="13"/>
        <v>28</v>
      </c>
      <c r="BF30">
        <f>MTFSI_LMP_GMX_UniqueMap!BV25</f>
        <v>0</v>
      </c>
      <c r="BG30">
        <f>MTFSI_LMP_GMX_UniqueMap!BW25</f>
        <v>0</v>
      </c>
      <c r="BH30">
        <f>MTFSI_LMP_GMX_UniqueMap!BX25</f>
        <v>0</v>
      </c>
      <c r="BI30">
        <f>MTFSI_LMP_GMX_UniqueMap!BY25</f>
        <v>0</v>
      </c>
      <c r="BJ30">
        <f>MTFSI_LMP_GMX_UniqueMap!BZ25</f>
        <v>0</v>
      </c>
      <c r="BK30">
        <f>MTFSI_LMP_GMX_UniqueMap!CA25</f>
        <v>0</v>
      </c>
      <c r="BL30">
        <f t="shared" si="10"/>
        <v>0</v>
      </c>
      <c r="BM30" t="str">
        <f>MTFSI_LMP_GMX_UniqueMap!CB25&amp;"-"&amp;MTFSI_LMP_GMX_UniqueMap!CC25&amp;"-"&amp;MTFSI_LMP_GMX_UniqueMap!CD25&amp;"-"&amp;MTFSI_LMP_GMX_UniqueMap!CE25</f>
        <v>O3MT-SMT-NMT-SMT</v>
      </c>
      <c r="BP30" t="s">
        <v>261</v>
      </c>
      <c r="BQ30">
        <v>28</v>
      </c>
      <c r="BR30" cm="1">
        <f t="array" ref="BR30">ROUND(0.239005736*(-2*_xlfn.XLOOKUP(BW30,$BM$3:$BM$54,ROUND($BG$3:$BG$54,5)) - 1.5*_xlfn.XLOOKUP(BW30,$BM$3:$BM$54,ROUND($BI$3:$BI$54,5))),3)</f>
        <v>1.3</v>
      </c>
      <c r="BS30" cm="1">
        <f t="array" ref="BS30">ROUND(0.239005736*(_xlfn.XLOOKUP(BW30,$BM$3:$BM$54,ROUND($BF$3:$BF$54,5)) + _xlfn.XLOOKUP(BW30,$BM$3:$BM$54,ROUND($BG$3:$BG$54,5)) + _xlfn.XLOOKUP(BW30,$BM$3:$BM$54,ROUND($BI$3:$BI$54,5))),3)</f>
        <v>-0.2</v>
      </c>
      <c r="BT30" cm="1">
        <f t="array" ref="BT30">ROUND(0.239005736*(-0.5*_xlfn.XLOOKUP(BW30,$BM$3:$BM$54,ROUND($BI$3:$BI$54,5))),3)</f>
        <v>0.2</v>
      </c>
      <c r="BU30" cm="1">
        <f t="array" ref="BU30">ROUND(0.239005736*(-0.25*_xlfn.XLOOKUP(BW30,$BM$3:$BM$54,ROUND($BJ$3:$BJ$54,5))),3)</f>
        <v>0</v>
      </c>
      <c r="BV30" t="s">
        <v>68</v>
      </c>
      <c r="BW30" t="s">
        <v>197</v>
      </c>
    </row>
    <row r="31" spans="2:76" x14ac:dyDescent="0.25">
      <c r="B31" s="17" t="s">
        <v>262</v>
      </c>
      <c r="C31" s="17">
        <f>E30</f>
        <v>23</v>
      </c>
      <c r="D31" s="18">
        <f>E30</f>
        <v>23</v>
      </c>
      <c r="E31" s="17">
        <f>F30</f>
        <v>0.4</v>
      </c>
      <c r="F31" s="17">
        <f>G30</f>
        <v>1.4</v>
      </c>
      <c r="G31" s="19">
        <f>2.5*F31</f>
        <v>3.5</v>
      </c>
      <c r="H31" s="17" t="str">
        <f>H30&amp;" "&amp;I30</f>
        <v># Li-LP/Bulk (Table1: https://pubs.acs.org/doi/10.1021/acs.jpcb.3c05591, Wu-Wick)</v>
      </c>
      <c r="I31" s="17"/>
      <c r="M31" s="9"/>
      <c r="AM31">
        <f t="shared" si="12"/>
        <v>29</v>
      </c>
      <c r="AN31">
        <f>VEC_LMP_GMX_UniqueMap!AU4</f>
        <v>109.5</v>
      </c>
      <c r="AO31">
        <f>VEC_LMP_GMX_UniqueMap!AV4</f>
        <v>292.88</v>
      </c>
      <c r="AP31" t="str">
        <f>VEC_LMP_GMX_UniqueMap!AW4</f>
        <v>O1V</v>
      </c>
      <c r="AQ31" t="str">
        <f>VEC_LMP_GMX_UniqueMap!AX4</f>
        <v>C1V</v>
      </c>
      <c r="AR31" t="str">
        <f>VEC_LMP_GMX_UniqueMap!AY4</f>
        <v>HV</v>
      </c>
      <c r="AS31" t="str">
        <f t="shared" si="9"/>
        <v>O1V-C1V-HV</v>
      </c>
      <c r="AU31" t="s">
        <v>257</v>
      </c>
      <c r="AV31" s="16">
        <v>29</v>
      </c>
      <c r="AW31" s="16" cm="1">
        <f t="array" ref="AW31">_xlfn.XLOOKUP(AZ31,$AS$3:$AS$37,ROUND(0.119502868*$AO$3:$AO$37,3))</f>
        <v>33</v>
      </c>
      <c r="AX31" s="16" cm="1">
        <f t="array" ref="AX31">_xlfn.XLOOKUP(AZ31,$AS$3:$AS$37,ROUND($AN$3:$AN$37,3))</f>
        <v>107.8</v>
      </c>
      <c r="AY31" s="16" t="s">
        <v>68</v>
      </c>
      <c r="AZ31" s="16" t="s">
        <v>155</v>
      </c>
      <c r="BE31">
        <f t="shared" si="13"/>
        <v>29</v>
      </c>
      <c r="BF31">
        <f>MTFSI_LMP_GMX_UniqueMap!BV26+0.001</f>
        <v>2.7849999999999997</v>
      </c>
      <c r="BG31">
        <f>MTFSI_LMP_GMX_UniqueMap!BW26</f>
        <v>0.27800000000000002</v>
      </c>
      <c r="BH31">
        <f>MTFSI_LMP_GMX_UniqueMap!BX26</f>
        <v>0.82799999999999996</v>
      </c>
      <c r="BI31">
        <f>MTFSI_LMP_GMX_UniqueMap!BY26</f>
        <v>-3.891</v>
      </c>
      <c r="BJ31">
        <f>MTFSI_LMP_GMX_UniqueMap!BZ26</f>
        <v>0</v>
      </c>
      <c r="BK31">
        <f>MTFSI_LMP_GMX_UniqueMap!CA26</f>
        <v>0</v>
      </c>
      <c r="BL31">
        <f t="shared" si="10"/>
        <v>-4.4408920985006262E-16</v>
      </c>
      <c r="BM31" t="str">
        <f>MTFSI_LMP_GMX_UniqueMap!CB26&amp;"-"&amp;MTFSI_LMP_GMX_UniqueMap!CC26&amp;"-"&amp;MTFSI_LMP_GMX_UniqueMap!CD26&amp;"-"&amp;MTFSI_LMP_GMX_UniqueMap!CE26</f>
        <v>SMT-C1MT-C1MT-C1MT</v>
      </c>
      <c r="BP31" t="s">
        <v>261</v>
      </c>
      <c r="BQ31">
        <v>29</v>
      </c>
      <c r="BR31" cm="1">
        <f t="array" ref="BR31">ROUND(0.239005736*(-2*_xlfn.XLOOKUP(BW31,$BM$3:$BM$54,ROUND($BG$3:$BG$54,5)) - 1.5*_xlfn.XLOOKUP(BW31,$BM$3:$BM$54,ROUND($BI$3:$BI$54,5))),3)</f>
        <v>0</v>
      </c>
      <c r="BS31" cm="1">
        <f t="array" ref="BS31">ROUND(0.239005736*(_xlfn.XLOOKUP(BW31,$BM$3:$BM$54,ROUND($BF$3:$BF$54,5)) + _xlfn.XLOOKUP(BW31,$BM$3:$BM$54,ROUND($BG$3:$BG$54,5)) + _xlfn.XLOOKUP(BW31,$BM$3:$BM$54,ROUND($BI$3:$BI$54,5))),3)</f>
        <v>0</v>
      </c>
      <c r="BT31" cm="1">
        <f t="array" ref="BT31">ROUND(0.239005736*(-0.5*_xlfn.XLOOKUP(BW31,$BM$3:$BM$54,ROUND($BI$3:$BI$54,5))),3)</f>
        <v>0.3</v>
      </c>
      <c r="BU31" cm="1">
        <f t="array" ref="BU31">ROUND(0.239005736*(-0.25*_xlfn.XLOOKUP(BW31,$BM$3:$BM$54,ROUND($BJ$3:$BJ$54,5))),3)</f>
        <v>0</v>
      </c>
      <c r="BV31" t="s">
        <v>68</v>
      </c>
      <c r="BW31" t="s">
        <v>198</v>
      </c>
    </row>
    <row r="32" spans="2:76" x14ac:dyDescent="0.25">
      <c r="M32" s="9"/>
      <c r="AM32">
        <f t="shared" si="12"/>
        <v>30</v>
      </c>
      <c r="AN32">
        <f>VEC_LMP_GMX_UniqueMap!AU5</f>
        <v>110.7</v>
      </c>
      <c r="AO32">
        <f>VEC_LMP_GMX_UniqueMap!AV5</f>
        <v>313.8</v>
      </c>
      <c r="AP32" t="str">
        <f>VEC_LMP_GMX_UniqueMap!AW5</f>
        <v>HV</v>
      </c>
      <c r="AQ32" t="str">
        <f>VEC_LMP_GMX_UniqueMap!AX5</f>
        <v>C1V</v>
      </c>
      <c r="AR32" t="str">
        <f>VEC_LMP_GMX_UniqueMap!AY5</f>
        <v>C1V</v>
      </c>
      <c r="AS32" t="str">
        <f t="shared" si="9"/>
        <v>HV-C1V-C1V</v>
      </c>
      <c r="AU32" t="s">
        <v>257</v>
      </c>
      <c r="AV32">
        <v>30</v>
      </c>
      <c r="AW32" cm="1">
        <f t="array" ref="AW32">_xlfn.XLOOKUP(AZ32,$AS$3:$AS$37,ROUND(0.119502868*$AO$3:$AO$37,3))</f>
        <v>35</v>
      </c>
      <c r="AX32" cm="1">
        <f t="array" ref="AX32">_xlfn.XLOOKUP(AZ32,$AS$3:$AS$37,ROUND($AN$3:$AN$37,3))</f>
        <v>109.5</v>
      </c>
      <c r="AY32" t="s">
        <v>68</v>
      </c>
      <c r="AZ32" t="s">
        <v>170</v>
      </c>
      <c r="BE32">
        <f t="shared" si="13"/>
        <v>30</v>
      </c>
      <c r="BF32">
        <f>MTFSI_LMP_GMX_UniqueMap!BV27-0.001</f>
        <v>0.94499999999999995</v>
      </c>
      <c r="BG32">
        <f>MTFSI_LMP_GMX_UniqueMap!BW27</f>
        <v>2.8370000000000002</v>
      </c>
      <c r="BH32">
        <f>MTFSI_LMP_GMX_UniqueMap!BX27</f>
        <v>0</v>
      </c>
      <c r="BI32">
        <f>MTFSI_LMP_GMX_UniqueMap!BY27</f>
        <v>-3.782</v>
      </c>
      <c r="BJ32">
        <f>MTFSI_LMP_GMX_UniqueMap!BZ27</f>
        <v>0</v>
      </c>
      <c r="BK32">
        <f>MTFSI_LMP_GMX_UniqueMap!CA27</f>
        <v>0</v>
      </c>
      <c r="BL32">
        <f t="shared" si="10"/>
        <v>0</v>
      </c>
      <c r="BM32" t="str">
        <f>MTFSI_LMP_GMX_UniqueMap!CB27&amp;"-"&amp;MTFSI_LMP_GMX_UniqueMap!CC27&amp;"-"&amp;MTFSI_LMP_GMX_UniqueMap!CD27&amp;"-"&amp;MTFSI_LMP_GMX_UniqueMap!CE27</f>
        <v>SMT-C1MT-C1MT-HMT</v>
      </c>
      <c r="BP32" t="s">
        <v>261</v>
      </c>
      <c r="BQ32">
        <v>30</v>
      </c>
      <c r="BR32" cm="1">
        <f t="array" ref="BR32">ROUND(0.239005736*(-2*_xlfn.XLOOKUP(BW32,$BM$3:$BM$54,ROUND($BG$3:$BG$54,5)) - 1.5*_xlfn.XLOOKUP(BW32,$BM$3:$BM$54,ROUND($BI$3:$BI$54,5))),3)</f>
        <v>1.7110000000000001</v>
      </c>
      <c r="BS32" cm="1">
        <f t="array" ref="BS32">ROUND(0.239005736*(_xlfn.XLOOKUP(BW32,$BM$3:$BM$54,ROUND($BF$3:$BF$54,5)) + _xlfn.XLOOKUP(BW32,$BM$3:$BM$54,ROUND($BG$3:$BG$54,5)) + _xlfn.XLOOKUP(BW32,$BM$3:$BM$54,ROUND($BI$3:$BI$54,5))),3)</f>
        <v>-0.5</v>
      </c>
      <c r="BT32" cm="1">
        <f t="array" ref="BT32">ROUND(0.239005736*(-0.5*_xlfn.XLOOKUP(BW32,$BM$3:$BM$54,ROUND($BI$3:$BI$54,5))),3)</f>
        <v>0.66300000000000003</v>
      </c>
      <c r="BU32" cm="1">
        <f t="array" ref="BU32">ROUND(0.239005736*(-0.25*_xlfn.XLOOKUP(BW32,$BM$3:$BM$54,ROUND($BJ$3:$BJ$54,5))),3)</f>
        <v>0</v>
      </c>
      <c r="BV32" t="s">
        <v>68</v>
      </c>
      <c r="BW32" t="s">
        <v>230</v>
      </c>
    </row>
    <row r="33" spans="13:76" x14ac:dyDescent="0.25">
      <c r="M33" s="9"/>
      <c r="AM33">
        <f t="shared" si="12"/>
        <v>31</v>
      </c>
      <c r="AN33">
        <f>VEC_LMP_GMX_UniqueMap!AU6</f>
        <v>109.5</v>
      </c>
      <c r="AO33">
        <f>VEC_LMP_GMX_UniqueMap!AV6</f>
        <v>418.4</v>
      </c>
      <c r="AP33" t="str">
        <f>VEC_LMP_GMX_UniqueMap!AW6</f>
        <v>C1V</v>
      </c>
      <c r="AQ33" t="str">
        <f>VEC_LMP_GMX_UniqueMap!AX6</f>
        <v>C1V</v>
      </c>
      <c r="AR33" t="str">
        <f>VEC_LMP_GMX_UniqueMap!AY6</f>
        <v>O1V</v>
      </c>
      <c r="AS33" t="str">
        <f t="shared" si="9"/>
        <v>C1V-C1V-O1V</v>
      </c>
      <c r="AU33" t="s">
        <v>257</v>
      </c>
      <c r="AV33">
        <v>31</v>
      </c>
      <c r="AW33" cm="1">
        <f t="array" ref="AW33">_xlfn.XLOOKUP(AZ33,$AS$3:$AS$37,ROUND(0.119502868*$AO$3:$AO$37,3))</f>
        <v>35</v>
      </c>
      <c r="AX33" cm="1">
        <f t="array" ref="AX33">_xlfn.XLOOKUP(AZ33,$AS$3:$AS$37,ROUND($AN$3:$AN$37,3))</f>
        <v>109.5</v>
      </c>
      <c r="AY33" t="s">
        <v>68</v>
      </c>
      <c r="AZ33" t="s">
        <v>171</v>
      </c>
      <c r="BE33">
        <f t="shared" si="13"/>
        <v>31</v>
      </c>
      <c r="BF33">
        <f>MTFSI_LMP_GMX_UniqueMap!BV28</f>
        <v>-15.611000000000001</v>
      </c>
      <c r="BG33">
        <f>MTFSI_LMP_GMX_UniqueMap!BW28</f>
        <v>0.70299999999999996</v>
      </c>
      <c r="BH33">
        <f>MTFSI_LMP_GMX_UniqueMap!BX28</f>
        <v>20.506</v>
      </c>
      <c r="BI33">
        <f>MTFSI_LMP_GMX_UniqueMap!BY28</f>
        <v>-5.5979999999999999</v>
      </c>
      <c r="BJ33">
        <f>MTFSI_LMP_GMX_UniqueMap!BZ28</f>
        <v>0</v>
      </c>
      <c r="BK33">
        <f>MTFSI_LMP_GMX_UniqueMap!CA28</f>
        <v>0</v>
      </c>
      <c r="BL33">
        <f t="shared" si="10"/>
        <v>-8.8817841970012523E-16</v>
      </c>
      <c r="BM33" t="str">
        <f>MTFSI_LMP_GMX_UniqueMap!CB28&amp;"-"&amp;MTFSI_LMP_GMX_UniqueMap!CC28&amp;"-"&amp;MTFSI_LMP_GMX_UniqueMap!CD28&amp;"-"&amp;MTFSI_LMP_GMX_UniqueMap!CE28</f>
        <v>SMT-NMT-SMT-C1MT</v>
      </c>
      <c r="BP33" t="s">
        <v>261</v>
      </c>
      <c r="BQ33">
        <v>31</v>
      </c>
      <c r="BR33" cm="1">
        <f t="array" ref="BR33">ROUND(0.239005736*(-2*_xlfn.XLOOKUP(BW33,$BM$3:$BM$54,ROUND($BG$3:$BG$54,5)) - 1.5*_xlfn.XLOOKUP(BW33,$BM$3:$BM$54,ROUND($BI$3:$BI$54,5))),3)</f>
        <v>-1.22</v>
      </c>
      <c r="BS33" cm="1">
        <f t="array" ref="BS33">ROUND(0.239005736*(_xlfn.XLOOKUP(BW33,$BM$3:$BM$54,ROUND($BF$3:$BF$54,5)) + _xlfn.XLOOKUP(BW33,$BM$3:$BM$54,ROUND($BG$3:$BG$54,5)) + _xlfn.XLOOKUP(BW33,$BM$3:$BM$54,ROUND($BI$3:$BI$54,5))),3)</f>
        <v>-0.126</v>
      </c>
      <c r="BT33" cm="1">
        <f t="array" ref="BT33">ROUND(0.239005736*(-0.5*_xlfn.XLOOKUP(BW33,$BM$3:$BM$54,ROUND($BI$3:$BI$54,5))),3)</f>
        <v>0.42199999999999999</v>
      </c>
      <c r="BU33" cm="1">
        <f t="array" ref="BU33">ROUND(0.239005736*(-0.25*_xlfn.XLOOKUP(BW33,$BM$3:$BM$54,ROUND($BJ$3:$BJ$54,5))),3)</f>
        <v>0</v>
      </c>
      <c r="BV33" t="s">
        <v>68</v>
      </c>
      <c r="BW33" t="s">
        <v>231</v>
      </c>
    </row>
    <row r="34" spans="13:76" x14ac:dyDescent="0.25">
      <c r="M34" s="9"/>
      <c r="AM34">
        <f t="shared" si="12"/>
        <v>32</v>
      </c>
      <c r="AN34">
        <f>VEC_LMP_GMX_UniqueMap!AU7</f>
        <v>112.7</v>
      </c>
      <c r="AO34">
        <f>VEC_LMP_GMX_UniqueMap!AV7</f>
        <v>488.27300000000002</v>
      </c>
      <c r="AP34" t="str">
        <f>VEC_LMP_GMX_UniqueMap!AW7</f>
        <v>C1V</v>
      </c>
      <c r="AQ34" t="str">
        <f>VEC_LMP_GMX_UniqueMap!AX7</f>
        <v>C1V</v>
      </c>
      <c r="AR34" t="str">
        <f>VEC_LMP_GMX_UniqueMap!AY7</f>
        <v>C1V</v>
      </c>
      <c r="AS34" t="str">
        <f t="shared" si="9"/>
        <v>C1V-C1V-C1V</v>
      </c>
      <c r="AU34" t="s">
        <v>257</v>
      </c>
      <c r="AV34">
        <v>32</v>
      </c>
      <c r="AW34" cm="1">
        <f t="array" ref="AW34">_xlfn.XLOOKUP(AZ34,$AS$3:$AS$37,ROUND(0.119502868*$AO$3:$AO$37,3))</f>
        <v>33</v>
      </c>
      <c r="AX34" cm="1">
        <f t="array" ref="AX34">_xlfn.XLOOKUP(AZ34,$AS$3:$AS$37,ROUND($AN$3:$AN$37,3))</f>
        <v>107.8</v>
      </c>
      <c r="AY34" t="s">
        <v>68</v>
      </c>
      <c r="AZ34" t="s">
        <v>156</v>
      </c>
      <c r="BE34">
        <f t="shared" si="13"/>
        <v>32</v>
      </c>
      <c r="BF34">
        <f>VEC_LMP_GMX_UniqueMap!BV3</f>
        <v>-2.1970000000000001</v>
      </c>
      <c r="BG34">
        <f>VEC_LMP_GMX_UniqueMap!BW3</f>
        <v>5.2009999999999996</v>
      </c>
      <c r="BH34">
        <f>VEC_LMP_GMX_UniqueMap!BX3</f>
        <v>0.52700000000000002</v>
      </c>
      <c r="BI34">
        <f>VEC_LMP_GMX_UniqueMap!BY3</f>
        <v>-3.5310000000000001</v>
      </c>
      <c r="BJ34">
        <f>VEC_LMP_GMX_UniqueMap!BZ3</f>
        <v>0</v>
      </c>
      <c r="BK34">
        <f>VEC_LMP_GMX_UniqueMap!CA3</f>
        <v>0</v>
      </c>
      <c r="BL34">
        <f t="shared" ref="BL34:BL43" si="29">SUM(BF34:BK34)</f>
        <v>-4.4408920985006262E-16</v>
      </c>
      <c r="BM34" t="str">
        <f>VEC_LMP_GMX_UniqueMap!CB3&amp;"-"&amp;VEC_LMP_GMX_UniqueMap!CC3&amp;"-"&amp;VEC_LMP_GMX_UniqueMap!CD3&amp;"-"&amp;VEC_LMP_GMX_UniqueMap!CE3</f>
        <v>C2V-O1V-C1V-C1V</v>
      </c>
      <c r="BP34" t="s">
        <v>261</v>
      </c>
      <c r="BQ34">
        <v>32</v>
      </c>
      <c r="BR34" cm="1">
        <f t="array" ref="BR34">ROUND(0.239005736*(-2*_xlfn.XLOOKUP(BW34,$BM$3:$BM$54,ROUND($BG$3:$BG$54,5)) - 1.5*_xlfn.XLOOKUP(BW34,$BM$3:$BM$54,ROUND($BI$3:$BI$54,5))),3)</f>
        <v>0</v>
      </c>
      <c r="BS34" cm="1">
        <f t="array" ref="BS34">ROUND(0.239005736*(_xlfn.XLOOKUP(BW34,$BM$3:$BM$54,ROUND($BF$3:$BF$54,5)) + _xlfn.XLOOKUP(BW34,$BM$3:$BM$54,ROUND($BG$3:$BG$54,5)) + _xlfn.XLOOKUP(BW34,$BM$3:$BM$54,ROUND($BI$3:$BI$54,5))),3)</f>
        <v>0</v>
      </c>
      <c r="BT34" cm="1">
        <f t="array" ref="BT34">ROUND(0.239005736*(-0.5*_xlfn.XLOOKUP(BW34,$BM$3:$BM$54,ROUND($BI$3:$BI$54,5))),3)</f>
        <v>-0.1</v>
      </c>
      <c r="BU34" cm="1">
        <f t="array" ref="BU34">ROUND(0.239005736*(-0.25*_xlfn.XLOOKUP(BW34,$BM$3:$BM$54,ROUND($BJ$3:$BJ$54,5))),3)</f>
        <v>0</v>
      </c>
      <c r="BV34" t="s">
        <v>68</v>
      </c>
      <c r="BW34" t="s">
        <v>199</v>
      </c>
    </row>
    <row r="35" spans="13:76" x14ac:dyDescent="0.25">
      <c r="M35" s="9"/>
      <c r="AM35">
        <f t="shared" si="12"/>
        <v>33</v>
      </c>
      <c r="AN35">
        <f>VEC_LMP_GMX_UniqueMap!AU8</f>
        <v>118.18</v>
      </c>
      <c r="AO35">
        <f>VEC_LMP_GMX_UniqueMap!AV8</f>
        <v>584.923</v>
      </c>
      <c r="AP35" t="str">
        <f>VEC_LMP_GMX_UniqueMap!AW8</f>
        <v>O1V</v>
      </c>
      <c r="AQ35" t="str">
        <f>VEC_LMP_GMX_UniqueMap!AX8</f>
        <v>C2V</v>
      </c>
      <c r="AR35" t="str">
        <f>VEC_LMP_GMX_UniqueMap!AY8</f>
        <v>O1V</v>
      </c>
      <c r="AS35" t="str">
        <f t="shared" si="9"/>
        <v>O1V-C2V-O1V</v>
      </c>
      <c r="AU35" t="s">
        <v>257</v>
      </c>
      <c r="AV35" s="16">
        <v>33</v>
      </c>
      <c r="AW35" s="16" cm="1">
        <f t="array" ref="AW35">_xlfn.XLOOKUP(AZ35,$AS$3:$AS$37,ROUND(0.119502868*$AO$3:$AO$37,3))</f>
        <v>35</v>
      </c>
      <c r="AX35" s="16" cm="1">
        <f t="array" ref="AX35">_xlfn.XLOOKUP(AZ35,$AS$3:$AS$37,ROUND($AN$3:$AN$37,3))</f>
        <v>109.5</v>
      </c>
      <c r="AY35" s="16" t="s">
        <v>68</v>
      </c>
      <c r="AZ35" s="16" t="s">
        <v>172</v>
      </c>
      <c r="BE35">
        <f t="shared" si="13"/>
        <v>33</v>
      </c>
      <c r="BF35">
        <f>VEC_LMP_GMX_UniqueMap!BV4</f>
        <v>-1.151</v>
      </c>
      <c r="BG35">
        <f>VEC_LMP_GMX_UniqueMap!BW4</f>
        <v>1.151</v>
      </c>
      <c r="BH35">
        <f>VEC_LMP_GMX_UniqueMap!BX4</f>
        <v>0</v>
      </c>
      <c r="BI35">
        <f>VEC_LMP_GMX_UniqueMap!BY4</f>
        <v>0</v>
      </c>
      <c r="BJ35">
        <f>VEC_LMP_GMX_UniqueMap!BZ4</f>
        <v>0</v>
      </c>
      <c r="BK35">
        <f>VEC_LMP_GMX_UniqueMap!CA4</f>
        <v>0</v>
      </c>
      <c r="BL35">
        <f t="shared" si="29"/>
        <v>0</v>
      </c>
      <c r="BM35" t="str">
        <f>VEC_LMP_GMX_UniqueMap!CB4&amp;"-"&amp;VEC_LMP_GMX_UniqueMap!CC4&amp;"-"&amp;VEC_LMP_GMX_UniqueMap!CD4&amp;"-"&amp;VEC_LMP_GMX_UniqueMap!CE4</f>
        <v>O1V-C1V-C1V-O1V</v>
      </c>
      <c r="BP35" t="s">
        <v>261</v>
      </c>
      <c r="BQ35">
        <v>33</v>
      </c>
      <c r="BR35" s="7">
        <f>BR63</f>
        <v>-2.06</v>
      </c>
      <c r="BS35" s="7">
        <f t="shared" ref="BS35:BU35" si="30">BS63</f>
        <v>-0.313</v>
      </c>
      <c r="BT35" s="7">
        <f t="shared" si="30"/>
        <v>0.315</v>
      </c>
      <c r="BU35" s="7">
        <f t="shared" si="30"/>
        <v>0</v>
      </c>
      <c r="BV35" s="7" t="s">
        <v>68</v>
      </c>
      <c r="BW35" s="7" t="s">
        <v>200</v>
      </c>
      <c r="BX35" s="7" t="s">
        <v>242</v>
      </c>
    </row>
    <row r="36" spans="13:76" x14ac:dyDescent="0.25">
      <c r="M36" s="9"/>
      <c r="AM36">
        <f t="shared" si="12"/>
        <v>34</v>
      </c>
      <c r="AN36">
        <f>VEC_LMP_GMX_UniqueMap!AU9</f>
        <v>116.9</v>
      </c>
      <c r="AO36">
        <f>VEC_LMP_GMX_UniqueMap!AV9</f>
        <v>694.54399999999998</v>
      </c>
      <c r="AP36" t="str">
        <f>VEC_LMP_GMX_UniqueMap!AW9</f>
        <v>C1V</v>
      </c>
      <c r="AQ36" t="str">
        <f>VEC_LMP_GMX_UniqueMap!AX9</f>
        <v>O1V</v>
      </c>
      <c r="AR36" t="str">
        <f>VEC_LMP_GMX_UniqueMap!AY9</f>
        <v>C2V</v>
      </c>
      <c r="AS36" t="str">
        <f t="shared" si="9"/>
        <v>C1V-O1V-C2V</v>
      </c>
      <c r="AU36" t="s">
        <v>257</v>
      </c>
      <c r="AV36">
        <v>34</v>
      </c>
      <c r="AW36" cm="1">
        <f t="array" ref="AW36">_xlfn.XLOOKUP(AZ36,$AS$3:$AS$37,ROUND(0.119502868*$AO$3:$AO$37,3))</f>
        <v>78.67</v>
      </c>
      <c r="AX36" cm="1">
        <f t="array" ref="AX36">_xlfn.XLOOKUP(AZ36,$AS$3:$AS$37,ROUND($AN$3:$AN$37,3))</f>
        <v>104.36</v>
      </c>
      <c r="AY36" t="s">
        <v>68</v>
      </c>
      <c r="AZ36" t="s">
        <v>157</v>
      </c>
      <c r="BE36">
        <f t="shared" si="13"/>
        <v>34</v>
      </c>
      <c r="BF36">
        <f>VEC_LMP_GMX_UniqueMap!BV5</f>
        <v>0.41399999999999998</v>
      </c>
      <c r="BG36">
        <f>VEC_LMP_GMX_UniqueMap!BW5</f>
        <v>1.2430000000000001</v>
      </c>
      <c r="BH36">
        <f>VEC_LMP_GMX_UniqueMap!BX5</f>
        <v>0</v>
      </c>
      <c r="BI36">
        <f>VEC_LMP_GMX_UniqueMap!BY5</f>
        <v>-1.657</v>
      </c>
      <c r="BJ36">
        <f>VEC_LMP_GMX_UniqueMap!BZ5</f>
        <v>0</v>
      </c>
      <c r="BK36">
        <f>VEC_LMP_GMX_UniqueMap!CA5</f>
        <v>0</v>
      </c>
      <c r="BL36">
        <f t="shared" si="29"/>
        <v>0</v>
      </c>
      <c r="BM36" t="str">
        <f>VEC_LMP_GMX_UniqueMap!CB5&amp;"-"&amp;VEC_LMP_GMX_UniqueMap!CC5&amp;"-"&amp;VEC_LMP_GMX_UniqueMap!CD5&amp;"-"&amp;VEC_LMP_GMX_UniqueMap!CE5</f>
        <v>C2V-O1V-C1V-HV</v>
      </c>
      <c r="BP36" t="s">
        <v>261</v>
      </c>
      <c r="BQ36">
        <v>34</v>
      </c>
      <c r="BR36" s="7">
        <f>BR34</f>
        <v>0</v>
      </c>
      <c r="BS36" s="7">
        <f t="shared" ref="BS36:BU36" si="31">BS34</f>
        <v>0</v>
      </c>
      <c r="BT36" s="7">
        <f t="shared" si="31"/>
        <v>-0.1</v>
      </c>
      <c r="BU36" s="7">
        <f t="shared" si="31"/>
        <v>0</v>
      </c>
      <c r="BV36" s="7" t="s">
        <v>68</v>
      </c>
      <c r="BW36" s="7" t="s">
        <v>201</v>
      </c>
      <c r="BX36" s="7" t="str">
        <f>"Same as "&amp;BW34</f>
        <v>Same as C2MT-C1MT-C1MT-HMT</v>
      </c>
    </row>
    <row r="37" spans="13:76" x14ac:dyDescent="0.25">
      <c r="M37" s="9"/>
      <c r="AM37">
        <f t="shared" si="12"/>
        <v>35</v>
      </c>
      <c r="AN37">
        <f>VEC_LMP_GMX_UniqueMap!AU10</f>
        <v>123.4</v>
      </c>
      <c r="AO37">
        <f>VEC_LMP_GMX_UniqueMap!AV10</f>
        <v>694.54399999999998</v>
      </c>
      <c r="AP37" t="str">
        <f>VEC_LMP_GMX_UniqueMap!AW10</f>
        <v>O1V</v>
      </c>
      <c r="AQ37" t="str">
        <f>VEC_LMP_GMX_UniqueMap!AX10</f>
        <v>C2V</v>
      </c>
      <c r="AR37" t="str">
        <f>VEC_LMP_GMX_UniqueMap!AY10</f>
        <v>O2V</v>
      </c>
      <c r="AS37" t="str">
        <f t="shared" si="9"/>
        <v>O1V-C2V-O2V</v>
      </c>
      <c r="AU37" t="s">
        <v>257</v>
      </c>
      <c r="AV37">
        <v>35</v>
      </c>
      <c r="AW37" cm="1">
        <f t="array" ref="AW37">_xlfn.XLOOKUP(AZ37,$AS$3:$AS$37,ROUND(0.119502868*$AO$3:$AO$37,3))</f>
        <v>83</v>
      </c>
      <c r="AX37" cm="1">
        <f t="array" ref="AX37">_xlfn.XLOOKUP(AZ37,$AS$3:$AS$37,ROUND($AN$3:$AN$37,3))</f>
        <v>123.4</v>
      </c>
      <c r="AY37" t="s">
        <v>68</v>
      </c>
      <c r="AZ37" t="s">
        <v>158</v>
      </c>
      <c r="BE37">
        <f t="shared" si="13"/>
        <v>35</v>
      </c>
      <c r="BF37">
        <f>VEC_LMP_GMX_UniqueMap!BV6-0.001</f>
        <v>0.627</v>
      </c>
      <c r="BG37">
        <f>VEC_LMP_GMX_UniqueMap!BW6</f>
        <v>1.883</v>
      </c>
      <c r="BH37">
        <f>VEC_LMP_GMX_UniqueMap!BX6</f>
        <v>0</v>
      </c>
      <c r="BI37">
        <f>VEC_LMP_GMX_UniqueMap!BY6</f>
        <v>-2.5099999999999998</v>
      </c>
      <c r="BJ37">
        <f>VEC_LMP_GMX_UniqueMap!BZ6</f>
        <v>0</v>
      </c>
      <c r="BK37">
        <f>VEC_LMP_GMX_UniqueMap!CA6</f>
        <v>0</v>
      </c>
      <c r="BL37">
        <f t="shared" si="29"/>
        <v>0</v>
      </c>
      <c r="BM37" t="str">
        <f>VEC_LMP_GMX_UniqueMap!CB6&amp;"-"&amp;VEC_LMP_GMX_UniqueMap!CC6&amp;"-"&amp;VEC_LMP_GMX_UniqueMap!CD6&amp;"-"&amp;VEC_LMP_GMX_UniqueMap!CE6</f>
        <v>C1V-C1V-C1V-HV</v>
      </c>
      <c r="BP37" t="s">
        <v>261</v>
      </c>
      <c r="BQ37">
        <v>35</v>
      </c>
      <c r="BR37" cm="1">
        <f t="array" ref="BR37">ROUND(0.239005736*(-2*_xlfn.XLOOKUP(BW37,$BM$3:$BM$54,ROUND($BG$3:$BG$54,5)) - 1.5*_xlfn.XLOOKUP(BW37,$BM$3:$BM$54,ROUND($BI$3:$BI$54,5))),3)</f>
        <v>0</v>
      </c>
      <c r="BS37" cm="1">
        <f t="array" ref="BS37">ROUND(0.239005736*(_xlfn.XLOOKUP(BW37,$BM$3:$BM$54,ROUND($BF$3:$BF$54,5)) + _xlfn.XLOOKUP(BW37,$BM$3:$BM$54,ROUND($BG$3:$BG$54,5)) + _xlfn.XLOOKUP(BW37,$BM$3:$BM$54,ROUND($BI$3:$BI$54,5))),3)</f>
        <v>0</v>
      </c>
      <c r="BT37" cm="1">
        <f t="array" ref="BT37">ROUND(0.239005736*(-0.5*_xlfn.XLOOKUP(BW37,$BM$3:$BM$54,ROUND($BI$3:$BI$54,5))),3)</f>
        <v>0</v>
      </c>
      <c r="BU37" cm="1">
        <f t="array" ref="BU37">ROUND(0.239005736*(-0.25*_xlfn.XLOOKUP(BW37,$BM$3:$BM$54,ROUND($BJ$3:$BJ$54,5))),3)</f>
        <v>0</v>
      </c>
      <c r="BV37" t="s">
        <v>68</v>
      </c>
      <c r="BW37" t="s">
        <v>202</v>
      </c>
    </row>
    <row r="38" spans="13:76" x14ac:dyDescent="0.25">
      <c r="M38" s="9"/>
      <c r="AU38" t="s">
        <v>257</v>
      </c>
      <c r="AV38">
        <v>36</v>
      </c>
      <c r="AW38" cm="1">
        <f t="array" ref="AW38">_xlfn.XLOOKUP(AZ38,$AS$3:$AS$37,ROUND(0.119502868*$AO$3:$AO$37,3))</f>
        <v>69.900000000000006</v>
      </c>
      <c r="AX38" cm="1">
        <f t="array" ref="AX38">_xlfn.XLOOKUP(AZ38,$AS$3:$AS$37,ROUND($AN$3:$AN$37,3))</f>
        <v>118.18</v>
      </c>
      <c r="AY38" t="s">
        <v>68</v>
      </c>
      <c r="AZ38" t="s">
        <v>159</v>
      </c>
      <c r="BE38">
        <f t="shared" si="13"/>
        <v>36</v>
      </c>
      <c r="BF38">
        <f>VEC_LMP_GMX_UniqueMap!BV7-0.001</f>
        <v>0.627</v>
      </c>
      <c r="BG38">
        <f>VEC_LMP_GMX_UniqueMap!BW7</f>
        <v>1.883</v>
      </c>
      <c r="BH38">
        <f>VEC_LMP_GMX_UniqueMap!BX7</f>
        <v>0</v>
      </c>
      <c r="BI38">
        <f>VEC_LMP_GMX_UniqueMap!BY7</f>
        <v>-2.5099999999999998</v>
      </c>
      <c r="BJ38">
        <f>VEC_LMP_GMX_UniqueMap!BZ7</f>
        <v>0</v>
      </c>
      <c r="BK38">
        <f>VEC_LMP_GMX_UniqueMap!CA7</f>
        <v>0</v>
      </c>
      <c r="BL38">
        <f t="shared" si="29"/>
        <v>0</v>
      </c>
      <c r="BM38" t="str">
        <f>VEC_LMP_GMX_UniqueMap!CB7&amp;"-"&amp;VEC_LMP_GMX_UniqueMap!CC7&amp;"-"&amp;VEC_LMP_GMX_UniqueMap!CD7&amp;"-"&amp;VEC_LMP_GMX_UniqueMap!CE7</f>
        <v>HV-C1V-C1V-HV</v>
      </c>
      <c r="BP38" t="s">
        <v>261</v>
      </c>
      <c r="BQ38">
        <v>36</v>
      </c>
      <c r="BR38" cm="1">
        <f t="array" ref="BR38">ROUND(0.239005736*(-2*_xlfn.XLOOKUP(BW38,$BM$3:$BM$54,ROUND($BG$3:$BG$54,5)) - 1.5*_xlfn.XLOOKUP(BW38,$BM$3:$BM$54,ROUND($BI$3:$BI$54,5))),3)</f>
        <v>0</v>
      </c>
      <c r="BS38" cm="1">
        <f t="array" ref="BS38">ROUND(0.239005736*(_xlfn.XLOOKUP(BW38,$BM$3:$BM$54,ROUND($BF$3:$BF$54,5)) + _xlfn.XLOOKUP(BW38,$BM$3:$BM$54,ROUND($BG$3:$BG$54,5)) + _xlfn.XLOOKUP(BW38,$BM$3:$BM$54,ROUND($BI$3:$BI$54,5))),3)</f>
        <v>0</v>
      </c>
      <c r="BT38" cm="1">
        <f t="array" ref="BT38">ROUND(0.239005736*(-0.5*_xlfn.XLOOKUP(BW38,$BM$3:$BM$54,ROUND($BI$3:$BI$54,5))),3)</f>
        <v>0</v>
      </c>
      <c r="BU38" cm="1">
        <f t="array" ref="BU38">ROUND(0.239005736*(-0.25*_xlfn.XLOOKUP(BW38,$BM$3:$BM$54,ROUND($BJ$3:$BJ$54,5))),3)</f>
        <v>0</v>
      </c>
      <c r="BV38" t="s">
        <v>68</v>
      </c>
      <c r="BW38" t="s">
        <v>203</v>
      </c>
    </row>
    <row r="39" spans="13:76" x14ac:dyDescent="0.25">
      <c r="M39" s="9"/>
      <c r="AU39" t="s">
        <v>257</v>
      </c>
      <c r="AV39">
        <v>37</v>
      </c>
      <c r="AW39" cm="1">
        <f t="array" ref="AW39">_xlfn.XLOOKUP(AZ39,$AS$3:$AS$37,ROUND(0.119502868*$AO$3:$AO$37,3))</f>
        <v>83</v>
      </c>
      <c r="AX39" cm="1">
        <f t="array" ref="AX39">_xlfn.XLOOKUP(AZ39,$AS$3:$AS$37,ROUND($AN$3:$AN$37,3))</f>
        <v>123.4</v>
      </c>
      <c r="AY39" t="s">
        <v>68</v>
      </c>
      <c r="AZ39" t="s">
        <v>160</v>
      </c>
      <c r="BE39">
        <f t="shared" si="13"/>
        <v>37</v>
      </c>
      <c r="BF39">
        <f>VEC_LMP_GMX_UniqueMap!BV8</f>
        <v>0.97899999999999998</v>
      </c>
      <c r="BG39">
        <f>VEC_LMP_GMX_UniqueMap!BW8</f>
        <v>2.9369999999999998</v>
      </c>
      <c r="BH39">
        <f>VEC_LMP_GMX_UniqueMap!BX8</f>
        <v>0</v>
      </c>
      <c r="BI39">
        <f>VEC_LMP_GMX_UniqueMap!BY8</f>
        <v>-3.9159999999999999</v>
      </c>
      <c r="BJ39">
        <f>VEC_LMP_GMX_UniqueMap!BZ8</f>
        <v>0</v>
      </c>
      <c r="BK39">
        <f>VEC_LMP_GMX_UniqueMap!CA8</f>
        <v>0</v>
      </c>
      <c r="BL39">
        <f t="shared" si="29"/>
        <v>0</v>
      </c>
      <c r="BM39" t="str">
        <f>VEC_LMP_GMX_UniqueMap!CB8&amp;"-"&amp;VEC_LMP_GMX_UniqueMap!CC8&amp;"-"&amp;VEC_LMP_GMX_UniqueMap!CD8&amp;"-"&amp;VEC_LMP_GMX_UniqueMap!CE8</f>
        <v>HV-C1V-C1V-O1V</v>
      </c>
      <c r="BP39" t="s">
        <v>261</v>
      </c>
      <c r="BQ39">
        <v>37</v>
      </c>
      <c r="BR39" cm="1">
        <f t="array" ref="BR39">ROUND(0.239005736*(-2*_xlfn.XLOOKUP(BW39,$BM$3:$BM$54,ROUND($BG$3:$BG$54,5)) - 1.5*_xlfn.XLOOKUP(BW39,$BM$3:$BM$54,ROUND($BI$3:$BI$54,5))),3)</f>
        <v>0</v>
      </c>
      <c r="BS39" cm="1">
        <f t="array" ref="BS39">ROUND(0.239005736*(_xlfn.XLOOKUP(BW39,$BM$3:$BM$54,ROUND($BF$3:$BF$54,5)) + _xlfn.XLOOKUP(BW39,$BM$3:$BM$54,ROUND($BG$3:$BG$54,5)) + _xlfn.XLOOKUP(BW39,$BM$3:$BM$54,ROUND($BI$3:$BI$54,5))),3)</f>
        <v>0</v>
      </c>
      <c r="BT39" cm="1">
        <f t="array" ref="BT39">ROUND(0.239005736*(-0.5*_xlfn.XLOOKUP(BW39,$BM$3:$BM$54,ROUND($BI$3:$BI$54,5))),3)</f>
        <v>0.3</v>
      </c>
      <c r="BU39" cm="1">
        <f t="array" ref="BU39">ROUND(0.239005736*(-0.25*_xlfn.XLOOKUP(BW39,$BM$3:$BM$54,ROUND($BJ$3:$BJ$54,5))),3)</f>
        <v>0</v>
      </c>
      <c r="BV39" t="s">
        <v>68</v>
      </c>
      <c r="BW39" t="s">
        <v>204</v>
      </c>
    </row>
    <row r="40" spans="13:76" x14ac:dyDescent="0.25">
      <c r="M40" s="9"/>
      <c r="AU40" t="s">
        <v>257</v>
      </c>
      <c r="AV40">
        <v>38</v>
      </c>
      <c r="AW40" cm="1">
        <f t="array" ref="AW40">_xlfn.XLOOKUP(AZ40,$AS$3:$AS$37,ROUND(0.119502868*$AO$3:$AO$37,3))</f>
        <v>104</v>
      </c>
      <c r="AX40" cm="1">
        <f t="array" ref="AX40">_xlfn.XLOOKUP(AZ40,$AS$3:$AS$37,ROUND($AN$3:$AN$37,3))</f>
        <v>119</v>
      </c>
      <c r="AY40" t="s">
        <v>68</v>
      </c>
      <c r="AZ40" t="s">
        <v>161</v>
      </c>
      <c r="BE40">
        <f t="shared" si="13"/>
        <v>38</v>
      </c>
      <c r="BF40">
        <f>VEC_LMP_GMX_UniqueMap!BV9</f>
        <v>2.3010000000000002</v>
      </c>
      <c r="BG40">
        <f>VEC_LMP_GMX_UniqueMap!BW9</f>
        <v>-1.464</v>
      </c>
      <c r="BH40">
        <f>VEC_LMP_GMX_UniqueMap!BX9</f>
        <v>0.83699999999999997</v>
      </c>
      <c r="BI40">
        <f>VEC_LMP_GMX_UniqueMap!BY9</f>
        <v>-1.6739999999999999</v>
      </c>
      <c r="BJ40">
        <f>VEC_LMP_GMX_UniqueMap!BZ9</f>
        <v>0</v>
      </c>
      <c r="BK40">
        <f>VEC_LMP_GMX_UniqueMap!CA9</f>
        <v>0</v>
      </c>
      <c r="BL40">
        <f t="shared" si="29"/>
        <v>2.2204460492503131E-16</v>
      </c>
      <c r="BM40" t="str">
        <f>VEC_LMP_GMX_UniqueMap!CB9&amp;"-"&amp;VEC_LMP_GMX_UniqueMap!CC9&amp;"-"&amp;VEC_LMP_GMX_UniqueMap!CD9&amp;"-"&amp;VEC_LMP_GMX_UniqueMap!CE9</f>
        <v>C1V-C1V-C1V-C1V</v>
      </c>
      <c r="BP40" t="s">
        <v>261</v>
      </c>
      <c r="BQ40">
        <v>38</v>
      </c>
      <c r="BR40" cm="1">
        <f t="array" ref="BR40">ROUND(0.239005736*(-2*_xlfn.XLOOKUP(BW40,$BM$3:$BM$54,ROUND($BG$3:$BG$54,5)) - 1.5*_xlfn.XLOOKUP(BW40,$BM$3:$BM$54,ROUND($BI$3:$BI$54,5))),3)</f>
        <v>0</v>
      </c>
      <c r="BS40" cm="1">
        <f t="array" ref="BS40">ROUND(0.239005736*(_xlfn.XLOOKUP(BW40,$BM$3:$BM$54,ROUND($BF$3:$BF$54,5)) + _xlfn.XLOOKUP(BW40,$BM$3:$BM$54,ROUND($BG$3:$BG$54,5)) + _xlfn.XLOOKUP(BW40,$BM$3:$BM$54,ROUND($BI$3:$BI$54,5))),3)</f>
        <v>0</v>
      </c>
      <c r="BT40" cm="1">
        <f t="array" ref="BT40">ROUND(0.239005736*(-0.5*_xlfn.XLOOKUP(BW40,$BM$3:$BM$54,ROUND($BI$3:$BI$54,5))),3)</f>
        <v>0.46800000000000003</v>
      </c>
      <c r="BU40" cm="1">
        <f t="array" ref="BU40">ROUND(0.239005736*(-0.25*_xlfn.XLOOKUP(BW40,$BM$3:$BM$54,ROUND($BJ$3:$BJ$54,5))),3)</f>
        <v>0</v>
      </c>
      <c r="BV40" t="s">
        <v>68</v>
      </c>
      <c r="BW40" t="s">
        <v>205</v>
      </c>
    </row>
    <row r="41" spans="13:76" x14ac:dyDescent="0.25">
      <c r="M41" s="9"/>
      <c r="AU41" t="s">
        <v>257</v>
      </c>
      <c r="AV41">
        <v>39</v>
      </c>
      <c r="AW41" cm="1">
        <f t="array" ref="AW41">_xlfn.XLOOKUP(AZ41,$AS$3:$AS$37,ROUND(0.119502868*$AO$3:$AO$37,3))</f>
        <v>60.26</v>
      </c>
      <c r="AX41" cm="1">
        <f t="array" ref="AX41">_xlfn.XLOOKUP(AZ41,$AS$3:$AS$37,ROUND($AN$3:$AN$37,3))</f>
        <v>116.57</v>
      </c>
      <c r="AY41" t="s">
        <v>68</v>
      </c>
      <c r="AZ41" t="s">
        <v>162</v>
      </c>
      <c r="BE41">
        <f t="shared" si="13"/>
        <v>39</v>
      </c>
      <c r="BF41">
        <f>VEC_LMP_GMX_UniqueMap!BV10</f>
        <v>2.8740000000000001</v>
      </c>
      <c r="BG41">
        <f>VEC_LMP_GMX_UniqueMap!BW10</f>
        <v>0.58199999999999996</v>
      </c>
      <c r="BH41">
        <f>VEC_LMP_GMX_UniqueMap!BX10</f>
        <v>2.0920000000000001</v>
      </c>
      <c r="BI41">
        <f>VEC_LMP_GMX_UniqueMap!BY10</f>
        <v>-5.548</v>
      </c>
      <c r="BJ41">
        <f>VEC_LMP_GMX_UniqueMap!BZ10</f>
        <v>0</v>
      </c>
      <c r="BK41">
        <f>VEC_LMP_GMX_UniqueMap!CA10</f>
        <v>0</v>
      </c>
      <c r="BL41">
        <f t="shared" si="29"/>
        <v>0</v>
      </c>
      <c r="BM41" t="str">
        <f>VEC_LMP_GMX_UniqueMap!CB10&amp;"-"&amp;VEC_LMP_GMX_UniqueMap!CC10&amp;"-"&amp;VEC_LMP_GMX_UniqueMap!CD10&amp;"-"&amp;VEC_LMP_GMX_UniqueMap!CE10</f>
        <v>O1V-C1V-C1V-C1V</v>
      </c>
      <c r="BP41" t="s">
        <v>261</v>
      </c>
      <c r="BQ41">
        <v>39</v>
      </c>
      <c r="BR41" cm="1">
        <f t="array" ref="BR41">ROUND(0.239005736*(-2*_xlfn.XLOOKUP(BW41,$BM$3:$BM$54,ROUND($BG$3:$BG$54,5)) - 1.5*_xlfn.XLOOKUP(BW41,$BM$3:$BM$54,ROUND($BI$3:$BI$54,5))),3)</f>
        <v>0</v>
      </c>
      <c r="BS41" cm="1">
        <f t="array" ref="BS41">ROUND(0.239005736*(_xlfn.XLOOKUP(BW41,$BM$3:$BM$54,ROUND($BF$3:$BF$54,5)) + _xlfn.XLOOKUP(BW41,$BM$3:$BM$54,ROUND($BG$3:$BG$54,5)) + _xlfn.XLOOKUP(BW41,$BM$3:$BM$54,ROUND($BI$3:$BI$54,5))),3)</f>
        <v>0</v>
      </c>
      <c r="BT41" cm="1">
        <f t="array" ref="BT41">ROUND(0.239005736*(-0.5*_xlfn.XLOOKUP(BW41,$BM$3:$BM$54,ROUND($BI$3:$BI$54,5))),3)</f>
        <v>0.45200000000000001</v>
      </c>
      <c r="BU41" cm="1">
        <f t="array" ref="BU41">ROUND(0.239005736*(-0.25*_xlfn.XLOOKUP(BW41,$BM$3:$BM$54,ROUND($BJ$3:$BJ$54,5))),3)</f>
        <v>0</v>
      </c>
      <c r="BV41" t="s">
        <v>68</v>
      </c>
      <c r="BW41" t="s">
        <v>232</v>
      </c>
    </row>
    <row r="42" spans="13:76" x14ac:dyDescent="0.25">
      <c r="M42" s="9"/>
      <c r="BE42">
        <f t="shared" si="13"/>
        <v>40</v>
      </c>
      <c r="BF42">
        <f>VEC_LMP_GMX_UniqueMap!BV11</f>
        <v>21.439</v>
      </c>
      <c r="BG42">
        <f>VEC_LMP_GMX_UniqueMap!BW11</f>
        <v>0</v>
      </c>
      <c r="BH42">
        <f>VEC_LMP_GMX_UniqueMap!BX11</f>
        <v>-21.439</v>
      </c>
      <c r="BI42">
        <f>VEC_LMP_GMX_UniqueMap!BY11</f>
        <v>0</v>
      </c>
      <c r="BJ42">
        <f>VEC_LMP_GMX_UniqueMap!BZ11</f>
        <v>0</v>
      </c>
      <c r="BK42">
        <f>VEC_LMP_GMX_UniqueMap!CA11</f>
        <v>0</v>
      </c>
      <c r="BL42">
        <f t="shared" si="29"/>
        <v>0</v>
      </c>
      <c r="BM42" t="str">
        <f>VEC_LMP_GMX_UniqueMap!CB11&amp;"-"&amp;VEC_LMP_GMX_UniqueMap!CC11&amp;"-"&amp;VEC_LMP_GMX_UniqueMap!CD11&amp;"-"&amp;VEC_LMP_GMX_UniqueMap!CE11</f>
        <v>O2V-C2V-O1V-C1V</v>
      </c>
      <c r="BP42" t="s">
        <v>261</v>
      </c>
      <c r="BQ42">
        <v>40</v>
      </c>
      <c r="BR42" s="7">
        <f>BR31</f>
        <v>0</v>
      </c>
      <c r="BS42" s="7">
        <f t="shared" ref="BS42:BU42" si="32">BS31</f>
        <v>0</v>
      </c>
      <c r="BT42" s="7">
        <f t="shared" si="32"/>
        <v>0.3</v>
      </c>
      <c r="BU42" s="7">
        <f t="shared" si="32"/>
        <v>0</v>
      </c>
      <c r="BV42" s="7" t="s">
        <v>68</v>
      </c>
      <c r="BW42" s="7" t="s">
        <v>206</v>
      </c>
      <c r="BX42" s="7" t="str">
        <f>"Same as "&amp;BW31</f>
        <v>Same as C1V-C1V-C1V-HV</v>
      </c>
    </row>
    <row r="43" spans="13:76" x14ac:dyDescent="0.25">
      <c r="M43" s="9"/>
      <c r="BE43">
        <f t="shared" si="13"/>
        <v>41</v>
      </c>
      <c r="BF43">
        <f>VEC_LMP_GMX_UniqueMap!BV12+0.001</f>
        <v>31.207000000000001</v>
      </c>
      <c r="BG43">
        <f>VEC_LMP_GMX_UniqueMap!BW12</f>
        <v>-9.7680000000000007</v>
      </c>
      <c r="BH43">
        <f>VEC_LMP_GMX_UniqueMap!BX12</f>
        <v>-21.439</v>
      </c>
      <c r="BI43">
        <f>VEC_LMP_GMX_UniqueMap!BY12</f>
        <v>0</v>
      </c>
      <c r="BJ43">
        <f>VEC_LMP_GMX_UniqueMap!BZ12</f>
        <v>0</v>
      </c>
      <c r="BK43">
        <f>VEC_LMP_GMX_UniqueMap!CA12</f>
        <v>0</v>
      </c>
      <c r="BL43">
        <f t="shared" si="29"/>
        <v>0</v>
      </c>
      <c r="BM43" t="str">
        <f>VEC_LMP_GMX_UniqueMap!CB12&amp;"-"&amp;VEC_LMP_GMX_UniqueMap!CC12&amp;"-"&amp;VEC_LMP_GMX_UniqueMap!CD12&amp;"-"&amp;VEC_LMP_GMX_UniqueMap!CE12</f>
        <v>C1V-O1V-C2V-O1V</v>
      </c>
      <c r="BP43" t="s">
        <v>261</v>
      </c>
      <c r="BQ43">
        <v>41</v>
      </c>
      <c r="BR43" s="7">
        <f>BR39</f>
        <v>0</v>
      </c>
      <c r="BS43" s="7">
        <f t="shared" ref="BS43:BU43" si="33">BS39</f>
        <v>0</v>
      </c>
      <c r="BT43" s="7">
        <f t="shared" si="33"/>
        <v>0.3</v>
      </c>
      <c r="BU43" s="7">
        <f t="shared" si="33"/>
        <v>0</v>
      </c>
      <c r="BV43" s="7" t="s">
        <v>68</v>
      </c>
      <c r="BW43" s="7" t="s">
        <v>207</v>
      </c>
      <c r="BX43" s="7" t="str">
        <f>"Same as "&amp;BW39</f>
        <v>Same as HMT-C1MT-C1MT-HMT</v>
      </c>
    </row>
    <row r="44" spans="13:76" x14ac:dyDescent="0.25">
      <c r="M44" s="9"/>
      <c r="BP44" t="s">
        <v>261</v>
      </c>
      <c r="BQ44">
        <v>42</v>
      </c>
      <c r="BR44" cm="1">
        <f t="array" ref="BR44">ROUND(0.239005736*(-2*_xlfn.XLOOKUP(BW44,$BM$3:$BM$54,ROUND($BG$3:$BG$54,5)) - 1.5*_xlfn.XLOOKUP(BW44,$BM$3:$BM$54,ROUND($BI$3:$BI$54,5))),3)</f>
        <v>0</v>
      </c>
      <c r="BS44" cm="1">
        <f t="array" ref="BS44">ROUND(0.239005736*(_xlfn.XLOOKUP(BW44,$BM$3:$BM$54,ROUND($BF$3:$BF$54,5)) + _xlfn.XLOOKUP(BW44,$BM$3:$BM$54,ROUND($BG$3:$BG$54,5)) + _xlfn.XLOOKUP(BW44,$BM$3:$BM$54,ROUND($BI$3:$BI$54,5))),3)</f>
        <v>0</v>
      </c>
      <c r="BT44" cm="1">
        <f t="array" ref="BT44">ROUND(0.239005736*(-0.5*_xlfn.XLOOKUP(BW44,$BM$3:$BM$54,ROUND($BI$3:$BI$54,5))),3)</f>
        <v>0.19800000000000001</v>
      </c>
      <c r="BU44" cm="1">
        <f t="array" ref="BU44">ROUND(0.239005736*(-0.25*_xlfn.XLOOKUP(BW44,$BM$3:$BM$54,ROUND($BJ$3:$BJ$54,5))),3)</f>
        <v>0</v>
      </c>
      <c r="BV44" t="s">
        <v>68</v>
      </c>
      <c r="BW44" t="s">
        <v>208</v>
      </c>
    </row>
    <row r="45" spans="13:76" x14ac:dyDescent="0.25">
      <c r="M45" s="9"/>
      <c r="BP45" t="s">
        <v>261</v>
      </c>
      <c r="BQ45">
        <v>43</v>
      </c>
      <c r="BR45" cm="1">
        <f t="array" ref="BR45">ROUND(0.239005736*(-2*_xlfn.XLOOKUP(BW45,$BM$3:$BM$54,ROUND($BG$3:$BG$54,5)) - 1.5*_xlfn.XLOOKUP(BW45,$BM$3:$BM$54,ROUND($BI$3:$BI$54,5))),3)</f>
        <v>0</v>
      </c>
      <c r="BS45" cm="1">
        <f t="array" ref="BS45">ROUND(0.239005736*(_xlfn.XLOOKUP(BW45,$BM$3:$BM$54,ROUND($BF$3:$BF$54,5)) + _xlfn.XLOOKUP(BW45,$BM$3:$BM$54,ROUND($BG$3:$BG$54,5)) + _xlfn.XLOOKUP(BW45,$BM$3:$BM$54,ROUND($BI$3:$BI$54,5))),3)</f>
        <v>0</v>
      </c>
      <c r="BT45" cm="1">
        <f t="array" ref="BT45">ROUND(0.239005736*(-0.5*_xlfn.XLOOKUP(BW45,$BM$3:$BM$54,ROUND($BI$3:$BI$54,5))),3)</f>
        <v>0</v>
      </c>
      <c r="BU45" cm="1">
        <f t="array" ref="BU45">ROUND(0.239005736*(-0.25*_xlfn.XLOOKUP(BW45,$BM$3:$BM$54,ROUND($BJ$3:$BJ$54,5))),3)</f>
        <v>0</v>
      </c>
      <c r="BV45" t="s">
        <v>68</v>
      </c>
      <c r="BW45" t="s">
        <v>233</v>
      </c>
    </row>
    <row r="46" spans="13:76" x14ac:dyDescent="0.25">
      <c r="M46" s="9"/>
      <c r="BP46" t="s">
        <v>261</v>
      </c>
      <c r="BQ46">
        <v>44</v>
      </c>
      <c r="BR46" cm="1">
        <f t="array" ref="BR46">ROUND(0.239005736*(-2*_xlfn.XLOOKUP(BW46,$BM$3:$BM$54,ROUND($BG$3:$BG$54,5)) - 1.5*_xlfn.XLOOKUP(BW46,$BM$3:$BM$54,ROUND($BI$3:$BI$54,5))),3)</f>
        <v>0</v>
      </c>
      <c r="BS46" cm="1">
        <f t="array" ref="BS46">ROUND(0.239005736*(_xlfn.XLOOKUP(BW46,$BM$3:$BM$54,ROUND($BF$3:$BF$54,5)) + _xlfn.XLOOKUP(BW46,$BM$3:$BM$54,ROUND($BG$3:$BG$54,5)) + _xlfn.XLOOKUP(BW46,$BM$3:$BM$54,ROUND($BI$3:$BI$54,5))),3)</f>
        <v>0</v>
      </c>
      <c r="BT46" cm="1">
        <f t="array" ref="BT46">ROUND(0.239005736*(-0.5*_xlfn.XLOOKUP(BW46,$BM$3:$BM$54,ROUND($BI$3:$BI$54,5))),3)</f>
        <v>0.35</v>
      </c>
      <c r="BU46" cm="1">
        <f t="array" ref="BU46">ROUND(0.239005736*(-0.25*_xlfn.XLOOKUP(BW46,$BM$3:$BM$54,ROUND($BJ$3:$BJ$54,5))),3)</f>
        <v>0</v>
      </c>
      <c r="BV46" t="s">
        <v>68</v>
      </c>
      <c r="BW46" t="s">
        <v>234</v>
      </c>
    </row>
    <row r="47" spans="13:76" x14ac:dyDescent="0.25">
      <c r="M47" s="9"/>
      <c r="BP47" t="s">
        <v>261</v>
      </c>
      <c r="BQ47">
        <v>45</v>
      </c>
      <c r="BR47" cm="1">
        <f t="array" ref="BR47">ROUND(0.239005736*(-2*_xlfn.XLOOKUP(BW47,$BM$3:$BM$54,ROUND($BG$3:$BG$54,5)) - 1.5*_xlfn.XLOOKUP(BW47,$BM$3:$BM$54,ROUND($BI$3:$BI$54,5))),3)</f>
        <v>0</v>
      </c>
      <c r="BS47" cm="1">
        <f t="array" ref="BS47">ROUND(0.239005736*(_xlfn.XLOOKUP(BW47,$BM$3:$BM$54,ROUND($BF$3:$BF$54,5)) + _xlfn.XLOOKUP(BW47,$BM$3:$BM$54,ROUND($BG$3:$BG$54,5)) + _xlfn.XLOOKUP(BW47,$BM$3:$BM$54,ROUND($BI$3:$BI$54,5))),3)</f>
        <v>0</v>
      </c>
      <c r="BT47" cm="1">
        <f t="array" ref="BT47">ROUND(0.239005736*(-0.5*_xlfn.XLOOKUP(BW47,$BM$3:$BM$54,ROUND($BI$3:$BI$54,5))),3)</f>
        <v>0.3</v>
      </c>
      <c r="BU47" cm="1">
        <f t="array" ref="BU47">ROUND(0.239005736*(-0.25*_xlfn.XLOOKUP(BW47,$BM$3:$BM$54,ROUND($BJ$3:$BJ$54,5))),3)</f>
        <v>0</v>
      </c>
      <c r="BV47" t="s">
        <v>68</v>
      </c>
      <c r="BW47" t="s">
        <v>209</v>
      </c>
    </row>
    <row r="48" spans="13:76" x14ac:dyDescent="0.25">
      <c r="M48" s="9"/>
      <c r="BP48" t="s">
        <v>261</v>
      </c>
      <c r="BQ48">
        <v>46</v>
      </c>
      <c r="BR48" cm="1">
        <f t="array" ref="BR48">ROUND(0.239005736*(-2*_xlfn.XLOOKUP(BW48,$BM$3:$BM$54,ROUND($BG$3:$BG$54,5)) - 1.5*_xlfn.XLOOKUP(BW48,$BM$3:$BM$54,ROUND($BI$3:$BI$54,5))),3)</f>
        <v>0</v>
      </c>
      <c r="BS48" cm="1">
        <f t="array" ref="BS48">ROUND(0.239005736*(_xlfn.XLOOKUP(BW48,$BM$3:$BM$54,ROUND($BF$3:$BF$54,5)) + _xlfn.XLOOKUP(BW48,$BM$3:$BM$54,ROUND($BG$3:$BG$54,5)) + _xlfn.XLOOKUP(BW48,$BM$3:$BM$54,ROUND($BI$3:$BI$54,5))),3)</f>
        <v>0</v>
      </c>
      <c r="BT48" cm="1">
        <f t="array" ref="BT48">ROUND(0.239005736*(-0.5*_xlfn.XLOOKUP(BW48,$BM$3:$BM$54,ROUND($BI$3:$BI$54,5))),3)</f>
        <v>0.46800000000000003</v>
      </c>
      <c r="BU48" cm="1">
        <f t="array" ref="BU48">ROUND(0.239005736*(-0.25*_xlfn.XLOOKUP(BW48,$BM$3:$BM$54,ROUND($BJ$3:$BJ$54,5))),3)</f>
        <v>0</v>
      </c>
      <c r="BV48" t="s">
        <v>68</v>
      </c>
      <c r="BW48" t="s">
        <v>210</v>
      </c>
    </row>
    <row r="49" spans="68:75" x14ac:dyDescent="0.25">
      <c r="BP49" t="s">
        <v>261</v>
      </c>
      <c r="BQ49">
        <v>47</v>
      </c>
      <c r="BR49" cm="1">
        <f t="array" ref="BR49">ROUND(0.239005736*(-2*_xlfn.XLOOKUP(BW49,$BM$3:$BM$54,ROUND($BG$3:$BG$54,5)) - 1.5*_xlfn.XLOOKUP(BW49,$BM$3:$BM$54,ROUND($BI$3:$BI$54,5))),3)</f>
        <v>0</v>
      </c>
      <c r="BS49" cm="1">
        <f t="array" ref="BS49">ROUND(0.239005736*(_xlfn.XLOOKUP(BW49,$BM$3:$BM$54,ROUND($BF$3:$BF$54,5)) + _xlfn.XLOOKUP(BW49,$BM$3:$BM$54,ROUND($BG$3:$BG$54,5)) + _xlfn.XLOOKUP(BW49,$BM$3:$BM$54,ROUND($BI$3:$BI$54,5))),3)</f>
        <v>0</v>
      </c>
      <c r="BT49" cm="1">
        <f t="array" ref="BT49">ROUND(0.239005736*(-0.5*_xlfn.XLOOKUP(BW49,$BM$3:$BM$54,ROUND($BI$3:$BI$54,5))),3)</f>
        <v>0.19800000000000001</v>
      </c>
      <c r="BU49" cm="1">
        <f t="array" ref="BU49">ROUND(0.239005736*(-0.25*_xlfn.XLOOKUP(BW49,$BM$3:$BM$54,ROUND($BJ$3:$BJ$54,5))),3)</f>
        <v>0</v>
      </c>
      <c r="BV49" t="s">
        <v>68</v>
      </c>
      <c r="BW49" t="s">
        <v>235</v>
      </c>
    </row>
    <row r="50" spans="68:75" x14ac:dyDescent="0.25">
      <c r="BP50" t="s">
        <v>261</v>
      </c>
      <c r="BQ50">
        <v>48</v>
      </c>
      <c r="BR50" cm="1">
        <f t="array" ref="BR50">ROUND(0.239005736*(-2*_xlfn.XLOOKUP(BW50,$BM$3:$BM$54,ROUND($BG$3:$BG$54,5)) - 1.5*_xlfn.XLOOKUP(BW50,$BM$3:$BM$54,ROUND($BI$3:$BI$54,5))),3)</f>
        <v>-0.55000000000000004</v>
      </c>
      <c r="BS50" cm="1">
        <f t="array" ref="BS50">ROUND(0.239005736*(_xlfn.XLOOKUP(BW50,$BM$3:$BM$54,ROUND($BF$3:$BF$54,5)) + _xlfn.XLOOKUP(BW50,$BM$3:$BM$54,ROUND($BG$3:$BG$54,5)) + _xlfn.XLOOKUP(BW50,$BM$3:$BM$54,ROUND($BI$3:$BI$54,5))),3)</f>
        <v>0</v>
      </c>
      <c r="BT50" cm="1">
        <f t="array" ref="BT50">ROUND(0.239005736*(-0.5*_xlfn.XLOOKUP(BW50,$BM$3:$BM$54,ROUND($BI$3:$BI$54,5))),3)</f>
        <v>0</v>
      </c>
      <c r="BU50" cm="1">
        <f t="array" ref="BU50">ROUND(0.239005736*(-0.25*_xlfn.XLOOKUP(BW50,$BM$3:$BM$54,ROUND($BJ$3:$BJ$54,5))),3)</f>
        <v>0</v>
      </c>
      <c r="BV50" t="s">
        <v>68</v>
      </c>
      <c r="BW50" t="s">
        <v>211</v>
      </c>
    </row>
    <row r="51" spans="68:75" x14ac:dyDescent="0.25">
      <c r="BP51" t="s">
        <v>261</v>
      </c>
      <c r="BQ51">
        <v>49</v>
      </c>
      <c r="BR51" cm="1">
        <f t="array" ref="BR51">ROUND(0.239005736*(-2*_xlfn.XLOOKUP(BW51,$BM$3:$BM$54,ROUND($BG$3:$BG$54,5)) - 1.5*_xlfn.XLOOKUP(BW51,$BM$3:$BM$54,ROUND($BI$3:$BI$54,5))),3)</f>
        <v>4.6689999999999996</v>
      </c>
      <c r="BS51" cm="1">
        <f t="array" ref="BS51">ROUND(0.239005736*(_xlfn.XLOOKUP(BW51,$BM$3:$BM$54,ROUND($BF$3:$BF$54,5)) + _xlfn.XLOOKUP(BW51,$BM$3:$BM$54,ROUND($BG$3:$BG$54,5)) + _xlfn.XLOOKUP(BW51,$BM$3:$BM$54,ROUND($BI$3:$BI$54,5))),3)</f>
        <v>5.1239999999999997</v>
      </c>
      <c r="BT51" cm="1">
        <f t="array" ref="BT51">ROUND(0.239005736*(-0.5*_xlfn.XLOOKUP(BW51,$BM$3:$BM$54,ROUND($BI$3:$BI$54,5))),3)</f>
        <v>0</v>
      </c>
      <c r="BU51" cm="1">
        <f t="array" ref="BU51">ROUND(0.239005736*(-0.25*_xlfn.XLOOKUP(BW51,$BM$3:$BM$54,ROUND($BJ$3:$BJ$54,5))),3)</f>
        <v>0</v>
      </c>
      <c r="BV51" t="s">
        <v>68</v>
      </c>
      <c r="BW51" t="s">
        <v>237</v>
      </c>
    </row>
    <row r="52" spans="68:75" x14ac:dyDescent="0.25">
      <c r="BP52" t="s">
        <v>261</v>
      </c>
      <c r="BQ52">
        <v>50</v>
      </c>
      <c r="BR52" cm="1">
        <f t="array" ref="BR52">ROUND(0.239005736*(-2*_xlfn.XLOOKUP(BW52,$BM$3:$BM$54,ROUND($BG$3:$BG$54,5)) - 1.5*_xlfn.XLOOKUP(BW52,$BM$3:$BM$54,ROUND($BI$3:$BI$54,5))),3)</f>
        <v>0</v>
      </c>
      <c r="BS52" cm="1">
        <f t="array" ref="BS52">ROUND(0.239005736*(_xlfn.XLOOKUP(BW52,$BM$3:$BM$54,ROUND($BF$3:$BF$54,5)) + _xlfn.XLOOKUP(BW52,$BM$3:$BM$54,ROUND($BG$3:$BG$54,5)) + _xlfn.XLOOKUP(BW52,$BM$3:$BM$54,ROUND($BI$3:$BI$54,5))),3)</f>
        <v>5.1239999999999997</v>
      </c>
      <c r="BT52" cm="1">
        <f t="array" ref="BT52">ROUND(0.239005736*(-0.5*_xlfn.XLOOKUP(BW52,$BM$3:$BM$54,ROUND($BI$3:$BI$54,5))),3)</f>
        <v>0</v>
      </c>
      <c r="BU52" cm="1">
        <f t="array" ref="BU52">ROUND(0.239005736*(-0.25*_xlfn.XLOOKUP(BW52,$BM$3:$BM$54,ROUND($BJ$3:$BJ$54,5))),3)</f>
        <v>0</v>
      </c>
      <c r="BV52" t="s">
        <v>68</v>
      </c>
      <c r="BW52" t="s">
        <v>238</v>
      </c>
    </row>
    <row r="53" spans="68:75" x14ac:dyDescent="0.25">
      <c r="BP53" t="s">
        <v>261</v>
      </c>
      <c r="BQ53">
        <v>51</v>
      </c>
      <c r="BR53" cm="1">
        <f t="array" ref="BR53">ROUND(0.239005736*(-2*_xlfn.XLOOKUP(BW53,$BM$3:$BM$54,ROUND($BG$3:$BG$54,5)) - 1.5*_xlfn.XLOOKUP(BW53,$BM$3:$BM$54,ROUND($BI$3:$BI$54,5))),3)</f>
        <v>0</v>
      </c>
      <c r="BS53" cm="1">
        <f t="array" ref="BS53">ROUND(0.239005736*(_xlfn.XLOOKUP(BW53,$BM$3:$BM$54,ROUND($BF$3:$BF$54,5)) + _xlfn.XLOOKUP(BW53,$BM$3:$BM$54,ROUND($BG$3:$BG$54,5)) + _xlfn.XLOOKUP(BW53,$BM$3:$BM$54,ROUND($BI$3:$BI$54,5))),3)</f>
        <v>5.1239999999999997</v>
      </c>
      <c r="BT53" cm="1">
        <f t="array" ref="BT53">ROUND(0.239005736*(-0.5*_xlfn.XLOOKUP(BW53,$BM$3:$BM$54,ROUND($BI$3:$BI$54,5))),3)</f>
        <v>0</v>
      </c>
      <c r="BU53" cm="1">
        <f t="array" ref="BU53">ROUND(0.239005736*(-0.25*_xlfn.XLOOKUP(BW53,$BM$3:$BM$54,ROUND($BJ$3:$BJ$54,5))),3)</f>
        <v>0</v>
      </c>
      <c r="BV53" t="s">
        <v>68</v>
      </c>
      <c r="BW53" t="s">
        <v>212</v>
      </c>
    </row>
    <row r="54" spans="68:75" x14ac:dyDescent="0.25">
      <c r="BP54" t="s">
        <v>261</v>
      </c>
      <c r="BQ54">
        <v>52</v>
      </c>
      <c r="BR54" cm="1">
        <f t="array" ref="BR54">ROUND(0.239005736*(-2*_xlfn.XLOOKUP(BW54,$BM$3:$BM$54,ROUND($BG$3:$BG$54,5)) - 1.5*_xlfn.XLOOKUP(BW54,$BM$3:$BM$54,ROUND($BI$3:$BI$54,5))),3)</f>
        <v>1.671</v>
      </c>
      <c r="BS54" cm="1">
        <f t="array" ref="BS54">ROUND(0.239005736*(_xlfn.XLOOKUP(BW54,$BM$3:$BM$54,ROUND($BF$3:$BF$54,5)) + _xlfn.XLOOKUP(BW54,$BM$3:$BM$54,ROUND($BG$3:$BG$54,5)) + _xlfn.XLOOKUP(BW54,$BM$3:$BM$54,ROUND($BI$3:$BI$54,5))),3)</f>
        <v>-4.9009999999999998</v>
      </c>
      <c r="BT54" cm="1">
        <f t="array" ref="BT54">ROUND(0.239005736*(-0.5*_xlfn.XLOOKUP(BW54,$BM$3:$BM$54,ROUND($BI$3:$BI$54,5))),3)</f>
        <v>0.66900000000000004</v>
      </c>
      <c r="BU54" cm="1">
        <f t="array" ref="BU54">ROUND(0.239005736*(-0.25*_xlfn.XLOOKUP(BW54,$BM$3:$BM$54,ROUND($BJ$3:$BJ$54,5))),3)</f>
        <v>0</v>
      </c>
      <c r="BV54" t="s">
        <v>68</v>
      </c>
      <c r="BW54" t="s">
        <v>213</v>
      </c>
    </row>
    <row r="55" spans="68:75" x14ac:dyDescent="0.25">
      <c r="BP55" t="s">
        <v>261</v>
      </c>
      <c r="BQ55">
        <v>53</v>
      </c>
      <c r="BR55" cm="1">
        <f t="array" ref="BR55">ROUND(0.239005736*(-2*_xlfn.XLOOKUP(BW55,$BM$3:$BM$54,ROUND($BG$3:$BG$54,5)) - 1.5*_xlfn.XLOOKUP(BW55,$BM$3:$BM$54,ROUND($BI$3:$BI$54,5))),3)</f>
        <v>0</v>
      </c>
      <c r="BS55" cm="1">
        <f t="array" ref="BS55">ROUND(0.239005736*(_xlfn.XLOOKUP(BW55,$BM$3:$BM$54,ROUND($BF$3:$BF$54,5)) + _xlfn.XLOOKUP(BW55,$BM$3:$BM$54,ROUND($BG$3:$BG$54,5)) + _xlfn.XLOOKUP(BW55,$BM$3:$BM$54,ROUND($BI$3:$BI$54,5))),3)</f>
        <v>0</v>
      </c>
      <c r="BT55" cm="1">
        <f t="array" ref="BT55">ROUND(0.239005736*(-0.5*_xlfn.XLOOKUP(BW55,$BM$3:$BM$54,ROUND($BI$3:$BI$54,5))),3)</f>
        <v>0</v>
      </c>
      <c r="BU55" cm="1">
        <f t="array" ref="BU55">ROUND(0.239005736*(-0.25*_xlfn.XLOOKUP(BW55,$BM$3:$BM$54,ROUND($BJ$3:$BJ$54,5))),3)</f>
        <v>0</v>
      </c>
      <c r="BV55" t="s">
        <v>68</v>
      </c>
      <c r="BW55" t="s">
        <v>236</v>
      </c>
    </row>
    <row r="61" spans="68:75" x14ac:dyDescent="0.25">
      <c r="BQ61" t="s">
        <v>239</v>
      </c>
    </row>
    <row r="62" spans="68:75" x14ac:dyDescent="0.25">
      <c r="BQ62" s="7" t="s">
        <v>240</v>
      </c>
      <c r="BR62" s="7">
        <v>1.3</v>
      </c>
      <c r="BS62" s="7">
        <v>-0.2</v>
      </c>
      <c r="BT62" s="7">
        <v>0.2</v>
      </c>
      <c r="BU62" s="7">
        <v>0</v>
      </c>
      <c r="BV62" s="7" t="s">
        <v>68</v>
      </c>
      <c r="BW62" s="7" t="s">
        <v>241</v>
      </c>
    </row>
    <row r="63" spans="68:75" x14ac:dyDescent="0.25">
      <c r="BQ63" s="7" t="s">
        <v>243</v>
      </c>
      <c r="BR63" s="7">
        <v>-2.06</v>
      </c>
      <c r="BS63" s="7">
        <v>-0.313</v>
      </c>
      <c r="BT63" s="7">
        <v>0.315</v>
      </c>
      <c r="BU63" s="7">
        <v>0</v>
      </c>
      <c r="BV63" s="7" t="s">
        <v>68</v>
      </c>
      <c r="BW63" s="7" t="s">
        <v>242</v>
      </c>
    </row>
  </sheetData>
  <mergeCells count="1">
    <mergeCell ref="F28:I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11B81-18C1-4C90-BC57-BF74943CFDE2}">
  <dimension ref="A1:CE83"/>
  <sheetViews>
    <sheetView topLeftCell="BC1" workbookViewId="0">
      <selection activeCell="BF2" sqref="BF2"/>
    </sheetView>
  </sheetViews>
  <sheetFormatPr defaultRowHeight="15" x14ac:dyDescent="0.25"/>
  <cols>
    <col min="1" max="1" width="38.85546875" customWidth="1"/>
    <col min="17" max="17" width="11" customWidth="1"/>
    <col min="36" max="36" width="12.140625" customWidth="1"/>
  </cols>
  <sheetData>
    <row r="1" spans="1:83" ht="75" x14ac:dyDescent="0.25">
      <c r="A1" s="1" t="s">
        <v>31</v>
      </c>
      <c r="B1" s="1" t="s">
        <v>27</v>
      </c>
      <c r="C1" s="1" t="s">
        <v>30</v>
      </c>
      <c r="D1" s="1"/>
      <c r="E1" s="1"/>
      <c r="F1" s="1"/>
      <c r="G1" s="1" t="s">
        <v>25</v>
      </c>
      <c r="H1" s="1"/>
      <c r="I1" s="1" t="s">
        <v>24</v>
      </c>
      <c r="J1" s="1"/>
      <c r="K1" s="1"/>
      <c r="L1" s="1"/>
      <c r="M1" s="1"/>
      <c r="N1" s="1" t="s">
        <v>29</v>
      </c>
      <c r="O1" s="1"/>
      <c r="P1" s="1"/>
      <c r="Q1" s="1" t="s">
        <v>33</v>
      </c>
      <c r="R1" s="1" t="s">
        <v>28</v>
      </c>
      <c r="S1" s="1"/>
      <c r="T1" s="1"/>
      <c r="U1" s="1"/>
      <c r="V1" s="1" t="s">
        <v>25</v>
      </c>
      <c r="W1" s="1"/>
      <c r="X1" s="1"/>
      <c r="Y1" s="1" t="s">
        <v>24</v>
      </c>
      <c r="Z1" s="1"/>
      <c r="AA1" s="1"/>
      <c r="AB1" s="1"/>
      <c r="AC1" s="1"/>
      <c r="AD1" s="1"/>
      <c r="AE1" s="1"/>
      <c r="AF1" s="1"/>
      <c r="AG1" s="1" t="s">
        <v>33</v>
      </c>
      <c r="AH1" s="1" t="s">
        <v>26</v>
      </c>
      <c r="AI1" s="1"/>
      <c r="AJ1" s="1"/>
      <c r="AK1" s="1"/>
      <c r="AL1" s="1"/>
      <c r="AM1" s="1" t="s">
        <v>25</v>
      </c>
      <c r="AN1" s="1"/>
      <c r="AO1" s="1"/>
      <c r="AP1" s="1"/>
      <c r="AQ1" s="1" t="s">
        <v>24</v>
      </c>
      <c r="AR1" s="1"/>
      <c r="AS1" s="1"/>
      <c r="AT1" s="1"/>
      <c r="AU1" s="1"/>
      <c r="AV1" s="1"/>
      <c r="AW1" s="1"/>
      <c r="AX1" s="1"/>
      <c r="BA1" s="1" t="s">
        <v>33</v>
      </c>
      <c r="BB1" s="1" t="s">
        <v>34</v>
      </c>
      <c r="BC1" s="1"/>
      <c r="BD1" s="1"/>
      <c r="BE1" s="1"/>
      <c r="BF1" s="1"/>
      <c r="BG1" s="1"/>
      <c r="BH1" s="1"/>
      <c r="BI1" s="1"/>
      <c r="BJ1" s="1"/>
      <c r="BK1" s="1"/>
      <c r="BL1" s="1" t="s">
        <v>25</v>
      </c>
      <c r="BM1" s="1"/>
      <c r="BN1" s="1"/>
      <c r="BO1" s="1"/>
      <c r="BP1" s="1"/>
      <c r="BQ1" s="1" t="s">
        <v>24</v>
      </c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</row>
    <row r="2" spans="1:83" ht="30" x14ac:dyDescent="0.25">
      <c r="A2" s="1" t="s">
        <v>23</v>
      </c>
      <c r="B2" t="s">
        <v>19</v>
      </c>
      <c r="C2" t="s">
        <v>21</v>
      </c>
      <c r="D2" t="s">
        <v>22</v>
      </c>
      <c r="E2" t="s">
        <v>19</v>
      </c>
      <c r="F2" t="s">
        <v>18</v>
      </c>
      <c r="G2" t="s">
        <v>17</v>
      </c>
      <c r="I2" t="s">
        <v>19</v>
      </c>
      <c r="J2" t="s">
        <v>21</v>
      </c>
      <c r="K2" t="s">
        <v>20</v>
      </c>
      <c r="L2" t="s">
        <v>19</v>
      </c>
      <c r="M2" t="s">
        <v>18</v>
      </c>
      <c r="N2" t="s">
        <v>17</v>
      </c>
      <c r="Q2" t="s">
        <v>15</v>
      </c>
      <c r="R2" t="s">
        <v>14</v>
      </c>
      <c r="S2" t="s">
        <v>42</v>
      </c>
      <c r="T2" t="s">
        <v>16</v>
      </c>
      <c r="U2" t="s">
        <v>11</v>
      </c>
      <c r="V2" t="s">
        <v>10</v>
      </c>
      <c r="W2" t="s">
        <v>9</v>
      </c>
      <c r="Y2" t="s">
        <v>15</v>
      </c>
      <c r="Z2" t="s">
        <v>14</v>
      </c>
      <c r="AA2" t="s">
        <v>42</v>
      </c>
      <c r="AB2" t="s">
        <v>16</v>
      </c>
      <c r="AC2" t="s">
        <v>11</v>
      </c>
      <c r="AD2" t="s">
        <v>10</v>
      </c>
      <c r="AE2" t="s">
        <v>9</v>
      </c>
      <c r="AG2" t="s">
        <v>15</v>
      </c>
      <c r="AH2" t="s">
        <v>14</v>
      </c>
      <c r="AI2" t="s">
        <v>13</v>
      </c>
      <c r="AJ2" t="s">
        <v>42</v>
      </c>
      <c r="AK2" t="s">
        <v>12</v>
      </c>
      <c r="AL2" t="s">
        <v>11</v>
      </c>
      <c r="AM2" t="s">
        <v>10</v>
      </c>
      <c r="AN2" t="s">
        <v>9</v>
      </c>
      <c r="AO2" t="s">
        <v>8</v>
      </c>
      <c r="AQ2" t="s">
        <v>15</v>
      </c>
      <c r="AR2" t="s">
        <v>14</v>
      </c>
      <c r="AS2" t="s">
        <v>13</v>
      </c>
      <c r="AT2" t="s">
        <v>42</v>
      </c>
      <c r="AU2" t="s">
        <v>12</v>
      </c>
      <c r="AV2" t="s">
        <v>11</v>
      </c>
      <c r="AW2" t="s">
        <v>10</v>
      </c>
      <c r="AX2" t="s">
        <v>9</v>
      </c>
      <c r="AY2" t="s">
        <v>8</v>
      </c>
      <c r="BA2" t="s">
        <v>15</v>
      </c>
      <c r="BB2" t="s">
        <v>14</v>
      </c>
      <c r="BC2" t="s">
        <v>13</v>
      </c>
      <c r="BD2" t="s">
        <v>35</v>
      </c>
      <c r="BE2" t="s">
        <v>42</v>
      </c>
      <c r="BF2" t="s">
        <v>36</v>
      </c>
      <c r="BG2" t="s">
        <v>37</v>
      </c>
      <c r="BH2" t="s">
        <v>38</v>
      </c>
      <c r="BI2" t="s">
        <v>39</v>
      </c>
      <c r="BJ2" t="s">
        <v>40</v>
      </c>
      <c r="BK2" t="s">
        <v>41</v>
      </c>
      <c r="BL2" t="s">
        <v>10</v>
      </c>
      <c r="BM2" t="s">
        <v>9</v>
      </c>
      <c r="BN2" t="s">
        <v>8</v>
      </c>
      <c r="BO2" t="s">
        <v>43</v>
      </c>
      <c r="BQ2" t="s">
        <v>15</v>
      </c>
      <c r="BR2" t="s">
        <v>14</v>
      </c>
      <c r="BS2" t="s">
        <v>13</v>
      </c>
      <c r="BT2" t="s">
        <v>35</v>
      </c>
      <c r="BU2" t="s">
        <v>42</v>
      </c>
      <c r="BV2" t="s">
        <v>36</v>
      </c>
      <c r="BW2" t="s">
        <v>37</v>
      </c>
      <c r="BX2" t="s">
        <v>38</v>
      </c>
      <c r="BY2" t="s">
        <v>39</v>
      </c>
      <c r="BZ2" t="s">
        <v>40</v>
      </c>
      <c r="CA2" t="s">
        <v>41</v>
      </c>
      <c r="CB2" t="s">
        <v>10</v>
      </c>
      <c r="CC2" t="s">
        <v>9</v>
      </c>
      <c r="CD2" t="s">
        <v>8</v>
      </c>
      <c r="CE2" t="s">
        <v>43</v>
      </c>
    </row>
    <row r="3" spans="1:83" x14ac:dyDescent="0.25">
      <c r="A3" t="s">
        <v>7</v>
      </c>
      <c r="B3">
        <v>1</v>
      </c>
      <c r="C3">
        <v>6.6000000000000003E-2</v>
      </c>
      <c r="D3">
        <v>3.5</v>
      </c>
      <c r="E3">
        <v>1</v>
      </c>
      <c r="F3">
        <v>12.010999999999999</v>
      </c>
      <c r="G3" t="s">
        <v>65</v>
      </c>
      <c r="I3">
        <v>1</v>
      </c>
      <c r="J3">
        <v>6.6000000000000003E-2</v>
      </c>
      <c r="K3">
        <v>3.5</v>
      </c>
      <c r="L3">
        <v>1</v>
      </c>
      <c r="M3">
        <v>12.010999999999999</v>
      </c>
      <c r="N3" t="s">
        <v>65</v>
      </c>
      <c r="Q3">
        <v>2</v>
      </c>
      <c r="R3">
        <v>1</v>
      </c>
      <c r="S3">
        <v>1</v>
      </c>
      <c r="T3">
        <v>0.14099999999999999</v>
      </c>
      <c r="U3">
        <v>267776</v>
      </c>
      <c r="V3" t="str">
        <f>_xlfn.XLOOKUP(Q3,$B$3:$B$46,$G$3:$G$46)</f>
        <v>O1P</v>
      </c>
      <c r="W3" t="str">
        <f>_xlfn.XLOOKUP(R3,$B$3:$B$46,$G$3:$G$46)</f>
        <v>C1P</v>
      </c>
      <c r="Y3">
        <v>2</v>
      </c>
      <c r="Z3">
        <v>1</v>
      </c>
      <c r="AA3">
        <v>1</v>
      </c>
      <c r="AB3">
        <v>0.14099999999999999</v>
      </c>
      <c r="AC3">
        <v>267776</v>
      </c>
      <c r="AD3" t="str">
        <f t="shared" ref="AD3:AE5" si="0">_xlfn.XLOOKUP(Y3,$B$3:$B$46,$G$3:$G$46)</f>
        <v>O1P</v>
      </c>
      <c r="AE3" t="str">
        <f t="shared" si="0"/>
        <v>C1P</v>
      </c>
      <c r="AG3">
        <v>1</v>
      </c>
      <c r="AH3">
        <v>2</v>
      </c>
      <c r="AI3">
        <v>3</v>
      </c>
      <c r="AJ3">
        <v>1</v>
      </c>
      <c r="AK3">
        <v>109.5</v>
      </c>
      <c r="AL3">
        <v>502.08</v>
      </c>
      <c r="AM3" t="str">
        <f>_xlfn.XLOOKUP(AG3,$B$3:$B$46,$G$3:$G$46)</f>
        <v>C1P</v>
      </c>
      <c r="AN3" t="str">
        <f t="shared" ref="AN3:AO18" si="1">_xlfn.XLOOKUP(AH3,$B$3:$B$46,$G$3:$G$46)</f>
        <v>O1P</v>
      </c>
      <c r="AO3" t="str">
        <f t="shared" si="1"/>
        <v>C1P</v>
      </c>
      <c r="AQ3">
        <v>1</v>
      </c>
      <c r="AR3">
        <v>2</v>
      </c>
      <c r="AS3">
        <v>3</v>
      </c>
      <c r="AT3">
        <v>1</v>
      </c>
      <c r="AU3">
        <v>109.5</v>
      </c>
      <c r="AV3">
        <v>502.08</v>
      </c>
      <c r="AW3" t="str">
        <f t="shared" ref="AW3:AY7" si="2">_xlfn.XLOOKUP(AQ3,$B$3:$B$46,$G$3:$G$46)</f>
        <v>C1P</v>
      </c>
      <c r="AX3" t="str">
        <f t="shared" si="2"/>
        <v>O1P</v>
      </c>
      <c r="AY3" t="str">
        <f t="shared" si="2"/>
        <v>C1P</v>
      </c>
      <c r="BA3">
        <v>4</v>
      </c>
      <c r="BB3">
        <v>3</v>
      </c>
      <c r="BC3">
        <v>2</v>
      </c>
      <c r="BD3">
        <v>1</v>
      </c>
      <c r="BE3">
        <v>3</v>
      </c>
      <c r="BF3">
        <v>1.7150000000000001</v>
      </c>
      <c r="BG3">
        <v>2.8450000000000002</v>
      </c>
      <c r="BH3">
        <v>1.046</v>
      </c>
      <c r="BI3">
        <v>-5.6070000000000002</v>
      </c>
      <c r="BJ3">
        <v>0</v>
      </c>
      <c r="BK3">
        <v>0</v>
      </c>
      <c r="BL3" t="str">
        <f>_xlfn.XLOOKUP(BA3,$B$3:$B$46,$G$3:$G$46)</f>
        <v>C1P</v>
      </c>
      <c r="BM3" t="str">
        <f t="shared" ref="BM3:BO18" si="3">_xlfn.XLOOKUP(BB3,$B$3:$B$46,$G$3:$G$46)</f>
        <v>C1P</v>
      </c>
      <c r="BN3" t="str">
        <f t="shared" si="3"/>
        <v>O1P</v>
      </c>
      <c r="BO3" t="str">
        <f t="shared" si="3"/>
        <v>C1P</v>
      </c>
      <c r="BQ3">
        <v>4</v>
      </c>
      <c r="BR3">
        <v>3</v>
      </c>
      <c r="BS3">
        <v>2</v>
      </c>
      <c r="BT3">
        <v>1</v>
      </c>
      <c r="BU3">
        <v>3</v>
      </c>
      <c r="BV3">
        <v>1.7150000000000001</v>
      </c>
      <c r="BW3">
        <v>2.8450000000000002</v>
      </c>
      <c r="BX3">
        <v>1.046</v>
      </c>
      <c r="BY3">
        <v>-5.6070000000000002</v>
      </c>
      <c r="BZ3">
        <v>0</v>
      </c>
      <c r="CA3">
        <v>0</v>
      </c>
      <c r="CB3" t="str">
        <f t="shared" ref="CB3:CE7" si="4">_xlfn.XLOOKUP(BQ3,$B$3:$B$46,$G$3:$G$46)</f>
        <v>C1P</v>
      </c>
      <c r="CC3" t="str">
        <f t="shared" si="4"/>
        <v>C1P</v>
      </c>
      <c r="CD3" t="str">
        <f t="shared" si="4"/>
        <v>O1P</v>
      </c>
      <c r="CE3" t="str">
        <f t="shared" si="4"/>
        <v>C1P</v>
      </c>
    </row>
    <row r="4" spans="1:83" x14ac:dyDescent="0.25">
      <c r="A4" t="s">
        <v>6</v>
      </c>
      <c r="B4">
        <v>2</v>
      </c>
      <c r="C4">
        <v>0.14000000000000001</v>
      </c>
      <c r="D4">
        <v>2.9</v>
      </c>
      <c r="E4">
        <v>2</v>
      </c>
      <c r="F4">
        <v>15.999000000000001</v>
      </c>
      <c r="G4" t="s">
        <v>64</v>
      </c>
      <c r="I4">
        <v>2</v>
      </c>
      <c r="J4">
        <v>0.14000000000000001</v>
      </c>
      <c r="K4">
        <v>2.9</v>
      </c>
      <c r="L4">
        <v>2</v>
      </c>
      <c r="M4">
        <v>15.999000000000001</v>
      </c>
      <c r="N4" t="s">
        <v>64</v>
      </c>
      <c r="Q4">
        <v>3</v>
      </c>
      <c r="R4">
        <v>2</v>
      </c>
      <c r="S4">
        <v>1</v>
      </c>
      <c r="T4">
        <v>0.14099999999999999</v>
      </c>
      <c r="U4">
        <v>267776</v>
      </c>
      <c r="V4" t="str">
        <f t="shared" ref="V4:V45" si="5">_xlfn.XLOOKUP(Q4,$B$3:$B$46,$G$3:$G$46)</f>
        <v>C1P</v>
      </c>
      <c r="W4" t="str">
        <f t="shared" ref="W4:W45" si="6">_xlfn.XLOOKUP(R4,$B$3:$B$46,$G$3:$G$46)</f>
        <v>O1P</v>
      </c>
      <c r="Y4">
        <v>4</v>
      </c>
      <c r="Z4">
        <v>3</v>
      </c>
      <c r="AA4">
        <v>1</v>
      </c>
      <c r="AB4">
        <v>0.15290000000000001</v>
      </c>
      <c r="AC4">
        <v>224262.39999999999</v>
      </c>
      <c r="AD4" t="str">
        <f t="shared" si="0"/>
        <v>C1P</v>
      </c>
      <c r="AE4" t="str">
        <f t="shared" si="0"/>
        <v>C1P</v>
      </c>
      <c r="AG4">
        <v>2</v>
      </c>
      <c r="AH4">
        <v>3</v>
      </c>
      <c r="AI4">
        <v>4</v>
      </c>
      <c r="AJ4">
        <v>1</v>
      </c>
      <c r="AK4">
        <v>109.5</v>
      </c>
      <c r="AL4">
        <v>418.4</v>
      </c>
      <c r="AM4" t="str">
        <f t="shared" ref="AM4:AO67" si="7">_xlfn.XLOOKUP(AG4,$B$3:$B$46,$G$3:$G$46)</f>
        <v>O1P</v>
      </c>
      <c r="AN4" t="str">
        <f t="shared" si="1"/>
        <v>C1P</v>
      </c>
      <c r="AO4" t="str">
        <f t="shared" si="1"/>
        <v>C1P</v>
      </c>
      <c r="AQ4">
        <v>2</v>
      </c>
      <c r="AR4">
        <v>3</v>
      </c>
      <c r="AS4">
        <v>4</v>
      </c>
      <c r="AT4">
        <v>1</v>
      </c>
      <c r="AU4">
        <v>109.5</v>
      </c>
      <c r="AV4">
        <v>418.4</v>
      </c>
      <c r="AW4" t="str">
        <f t="shared" si="2"/>
        <v>O1P</v>
      </c>
      <c r="AX4" t="str">
        <f t="shared" si="2"/>
        <v>C1P</v>
      </c>
      <c r="AY4" t="str">
        <f t="shared" si="2"/>
        <v>C1P</v>
      </c>
      <c r="BA4">
        <v>16</v>
      </c>
      <c r="BB4">
        <v>15</v>
      </c>
      <c r="BC4">
        <v>14</v>
      </c>
      <c r="BD4">
        <v>13</v>
      </c>
      <c r="BE4">
        <v>3</v>
      </c>
      <c r="BF4">
        <v>1.7150000000000001</v>
      </c>
      <c r="BG4">
        <v>2.8450000000000002</v>
      </c>
      <c r="BH4">
        <v>1.046</v>
      </c>
      <c r="BI4">
        <v>-5.6070000000000002</v>
      </c>
      <c r="BJ4">
        <v>0</v>
      </c>
      <c r="BK4">
        <v>0</v>
      </c>
      <c r="BL4" t="str">
        <f t="shared" ref="BL4:BO67" si="8">_xlfn.XLOOKUP(BA4,$B$3:$B$46,$G$3:$G$46)</f>
        <v>C1P</v>
      </c>
      <c r="BM4" t="str">
        <f t="shared" si="3"/>
        <v>C1P</v>
      </c>
      <c r="BN4" t="str">
        <f t="shared" si="3"/>
        <v>O1P</v>
      </c>
      <c r="BO4" t="str">
        <f t="shared" si="3"/>
        <v>C1P</v>
      </c>
      <c r="BQ4">
        <v>24</v>
      </c>
      <c r="BR4">
        <v>4</v>
      </c>
      <c r="BS4">
        <v>3</v>
      </c>
      <c r="BT4">
        <v>23</v>
      </c>
      <c r="BU4">
        <v>3</v>
      </c>
      <c r="BV4">
        <v>0.628</v>
      </c>
      <c r="BW4">
        <v>1.883</v>
      </c>
      <c r="BX4">
        <v>0</v>
      </c>
      <c r="BY4">
        <v>-2.5099999999999998</v>
      </c>
      <c r="BZ4">
        <v>0</v>
      </c>
      <c r="CA4">
        <v>0</v>
      </c>
      <c r="CB4" t="str">
        <f t="shared" si="4"/>
        <v>HP</v>
      </c>
      <c r="CC4" t="str">
        <f t="shared" si="4"/>
        <v>C1P</v>
      </c>
      <c r="CD4" t="str">
        <f t="shared" si="4"/>
        <v>C1P</v>
      </c>
      <c r="CE4" t="str">
        <f t="shared" si="4"/>
        <v>HP</v>
      </c>
    </row>
    <row r="5" spans="1:83" x14ac:dyDescent="0.25">
      <c r="A5" t="s">
        <v>5</v>
      </c>
      <c r="B5">
        <v>3</v>
      </c>
      <c r="C5">
        <v>6.6000000000000003E-2</v>
      </c>
      <c r="D5">
        <v>3.5</v>
      </c>
      <c r="E5">
        <v>3</v>
      </c>
      <c r="F5">
        <v>12.010999999999999</v>
      </c>
      <c r="G5" t="s">
        <v>65</v>
      </c>
      <c r="I5">
        <v>19</v>
      </c>
      <c r="J5">
        <v>0.03</v>
      </c>
      <c r="K5">
        <v>2.5</v>
      </c>
      <c r="L5">
        <v>19</v>
      </c>
      <c r="M5">
        <v>1.008</v>
      </c>
      <c r="N5" t="s">
        <v>63</v>
      </c>
      <c r="Q5">
        <v>4</v>
      </c>
      <c r="R5">
        <v>3</v>
      </c>
      <c r="S5">
        <v>1</v>
      </c>
      <c r="T5">
        <v>0.15290000000000001</v>
      </c>
      <c r="U5">
        <v>224262.39999999999</v>
      </c>
      <c r="V5" t="str">
        <f t="shared" si="5"/>
        <v>C1P</v>
      </c>
      <c r="W5" t="str">
        <f t="shared" si="6"/>
        <v>C1P</v>
      </c>
      <c r="Y5">
        <v>19</v>
      </c>
      <c r="Z5">
        <v>1</v>
      </c>
      <c r="AA5">
        <v>1</v>
      </c>
      <c r="AB5">
        <v>0.109</v>
      </c>
      <c r="AC5">
        <v>284512</v>
      </c>
      <c r="AD5" t="str">
        <f t="shared" si="0"/>
        <v>HP</v>
      </c>
      <c r="AE5" t="str">
        <f t="shared" si="0"/>
        <v>C1P</v>
      </c>
      <c r="AG5">
        <v>3</v>
      </c>
      <c r="AH5">
        <v>4</v>
      </c>
      <c r="AI5">
        <v>5</v>
      </c>
      <c r="AJ5">
        <v>1</v>
      </c>
      <c r="AK5">
        <v>109.5</v>
      </c>
      <c r="AL5">
        <v>418.4</v>
      </c>
      <c r="AM5" t="str">
        <f t="shared" si="7"/>
        <v>C1P</v>
      </c>
      <c r="AN5" t="str">
        <f t="shared" si="1"/>
        <v>C1P</v>
      </c>
      <c r="AO5" t="str">
        <f t="shared" si="1"/>
        <v>O1P</v>
      </c>
      <c r="AQ5">
        <v>2</v>
      </c>
      <c r="AR5">
        <v>1</v>
      </c>
      <c r="AS5">
        <v>19</v>
      </c>
      <c r="AT5">
        <v>1</v>
      </c>
      <c r="AU5">
        <v>109.5</v>
      </c>
      <c r="AV5">
        <v>292.88</v>
      </c>
      <c r="AW5" t="str">
        <f t="shared" si="2"/>
        <v>O1P</v>
      </c>
      <c r="AX5" t="str">
        <f t="shared" si="2"/>
        <v>C1P</v>
      </c>
      <c r="AY5" t="str">
        <f t="shared" si="2"/>
        <v>HP</v>
      </c>
      <c r="BA5">
        <v>10</v>
      </c>
      <c r="BB5">
        <v>9</v>
      </c>
      <c r="BC5">
        <v>8</v>
      </c>
      <c r="BD5">
        <v>7</v>
      </c>
      <c r="BE5">
        <v>3</v>
      </c>
      <c r="BF5">
        <v>1.7150000000000001</v>
      </c>
      <c r="BG5">
        <v>2.8450000000000002</v>
      </c>
      <c r="BH5">
        <v>1.046</v>
      </c>
      <c r="BI5">
        <v>-5.6070000000000002</v>
      </c>
      <c r="BJ5">
        <v>0</v>
      </c>
      <c r="BK5">
        <v>0</v>
      </c>
      <c r="BL5" t="str">
        <f t="shared" si="8"/>
        <v>C1P</v>
      </c>
      <c r="BM5" t="str">
        <f t="shared" si="3"/>
        <v>C1P</v>
      </c>
      <c r="BN5" t="str">
        <f t="shared" si="3"/>
        <v>O1P</v>
      </c>
      <c r="BO5" t="str">
        <f t="shared" si="3"/>
        <v>C1P</v>
      </c>
      <c r="BQ5">
        <v>30</v>
      </c>
      <c r="BR5">
        <v>9</v>
      </c>
      <c r="BS5">
        <v>10</v>
      </c>
      <c r="BT5">
        <v>11</v>
      </c>
      <c r="BU5">
        <v>3</v>
      </c>
      <c r="BV5">
        <v>0.97899999999999998</v>
      </c>
      <c r="BW5">
        <v>2.9369999999999998</v>
      </c>
      <c r="BX5">
        <v>0</v>
      </c>
      <c r="BY5">
        <v>-3.9159999999999999</v>
      </c>
      <c r="BZ5">
        <v>0</v>
      </c>
      <c r="CA5">
        <v>0</v>
      </c>
      <c r="CB5" t="str">
        <f t="shared" si="4"/>
        <v>HP</v>
      </c>
      <c r="CC5" t="str">
        <f t="shared" si="4"/>
        <v>C1P</v>
      </c>
      <c r="CD5" t="str">
        <f t="shared" si="4"/>
        <v>C1P</v>
      </c>
      <c r="CE5" t="str">
        <f t="shared" si="4"/>
        <v>O1P</v>
      </c>
    </row>
    <row r="6" spans="1:83" x14ac:dyDescent="0.25">
      <c r="A6" s="2" t="s">
        <v>4</v>
      </c>
      <c r="B6">
        <v>4</v>
      </c>
      <c r="C6">
        <v>6.6000000000000003E-2</v>
      </c>
      <c r="D6">
        <v>3.5</v>
      </c>
      <c r="E6">
        <v>4</v>
      </c>
      <c r="F6">
        <v>12.010999999999999</v>
      </c>
      <c r="G6" t="s">
        <v>65</v>
      </c>
      <c r="Q6">
        <v>5</v>
      </c>
      <c r="R6">
        <v>4</v>
      </c>
      <c r="S6">
        <v>1</v>
      </c>
      <c r="T6">
        <v>0.14099999999999999</v>
      </c>
      <c r="U6">
        <v>267776</v>
      </c>
      <c r="V6" t="str">
        <f t="shared" si="5"/>
        <v>O1P</v>
      </c>
      <c r="W6" t="str">
        <f t="shared" si="6"/>
        <v>C1P</v>
      </c>
      <c r="AG6">
        <v>4</v>
      </c>
      <c r="AH6">
        <v>5</v>
      </c>
      <c r="AI6">
        <v>6</v>
      </c>
      <c r="AJ6">
        <v>1</v>
      </c>
      <c r="AK6">
        <v>109.5</v>
      </c>
      <c r="AL6">
        <v>502.08</v>
      </c>
      <c r="AM6" t="str">
        <f t="shared" si="7"/>
        <v>C1P</v>
      </c>
      <c r="AN6" t="str">
        <f t="shared" si="1"/>
        <v>O1P</v>
      </c>
      <c r="AO6" t="str">
        <f t="shared" si="1"/>
        <v>C1P</v>
      </c>
      <c r="AQ6">
        <v>3</v>
      </c>
      <c r="AR6">
        <v>4</v>
      </c>
      <c r="AS6">
        <v>24</v>
      </c>
      <c r="AT6">
        <v>1</v>
      </c>
      <c r="AU6">
        <v>110.7</v>
      </c>
      <c r="AV6">
        <v>313.8</v>
      </c>
      <c r="AW6" t="str">
        <f t="shared" si="2"/>
        <v>C1P</v>
      </c>
      <c r="AX6" t="str">
        <f t="shared" si="2"/>
        <v>C1P</v>
      </c>
      <c r="AY6" t="str">
        <f t="shared" si="2"/>
        <v>HP</v>
      </c>
      <c r="BA6">
        <v>13</v>
      </c>
      <c r="BB6">
        <v>12</v>
      </c>
      <c r="BC6">
        <v>11</v>
      </c>
      <c r="BD6">
        <v>10</v>
      </c>
      <c r="BE6">
        <v>3</v>
      </c>
      <c r="BF6">
        <v>1.7150000000000001</v>
      </c>
      <c r="BG6">
        <v>2.8450000000000002</v>
      </c>
      <c r="BH6">
        <v>1.046</v>
      </c>
      <c r="BI6">
        <v>-5.6070000000000002</v>
      </c>
      <c r="BJ6">
        <v>0</v>
      </c>
      <c r="BK6">
        <v>0</v>
      </c>
      <c r="BL6" t="str">
        <f t="shared" si="8"/>
        <v>C1P</v>
      </c>
      <c r="BM6" t="str">
        <f t="shared" si="3"/>
        <v>C1P</v>
      </c>
      <c r="BN6" t="str">
        <f t="shared" si="3"/>
        <v>O1P</v>
      </c>
      <c r="BO6" t="str">
        <f t="shared" si="3"/>
        <v>C1P</v>
      </c>
      <c r="BQ6">
        <v>25</v>
      </c>
      <c r="BR6">
        <v>4</v>
      </c>
      <c r="BS6">
        <v>5</v>
      </c>
      <c r="BT6">
        <v>6</v>
      </c>
      <c r="BU6">
        <v>3</v>
      </c>
      <c r="BV6">
        <v>1.59</v>
      </c>
      <c r="BW6">
        <v>4.7699999999999996</v>
      </c>
      <c r="BX6">
        <v>0</v>
      </c>
      <c r="BY6">
        <v>-6.36</v>
      </c>
      <c r="BZ6">
        <v>0</v>
      </c>
      <c r="CA6">
        <v>0</v>
      </c>
      <c r="CB6" t="str">
        <f t="shared" si="4"/>
        <v>HP</v>
      </c>
      <c r="CC6" t="str">
        <f t="shared" si="4"/>
        <v>C1P</v>
      </c>
      <c r="CD6" t="str">
        <f t="shared" si="4"/>
        <v>O1P</v>
      </c>
      <c r="CE6" t="str">
        <f t="shared" si="4"/>
        <v>C1P</v>
      </c>
    </row>
    <row r="7" spans="1:83" x14ac:dyDescent="0.25">
      <c r="A7" t="s">
        <v>3</v>
      </c>
      <c r="B7">
        <v>5</v>
      </c>
      <c r="C7">
        <v>0.14000000000000001</v>
      </c>
      <c r="D7">
        <v>2.9</v>
      </c>
      <c r="E7">
        <v>5</v>
      </c>
      <c r="F7">
        <v>15.999000000000001</v>
      </c>
      <c r="G7" t="s">
        <v>64</v>
      </c>
      <c r="Q7">
        <v>6</v>
      </c>
      <c r="R7">
        <v>5</v>
      </c>
      <c r="S7">
        <v>1</v>
      </c>
      <c r="T7">
        <v>0.14099999999999999</v>
      </c>
      <c r="U7">
        <v>267776</v>
      </c>
      <c r="V7" t="str">
        <f t="shared" si="5"/>
        <v>C1P</v>
      </c>
      <c r="W7" t="str">
        <f t="shared" si="6"/>
        <v>O1P</v>
      </c>
      <c r="AG7">
        <v>5</v>
      </c>
      <c r="AH7">
        <v>6</v>
      </c>
      <c r="AI7">
        <v>7</v>
      </c>
      <c r="AJ7">
        <v>1</v>
      </c>
      <c r="AK7">
        <v>109.5</v>
      </c>
      <c r="AL7">
        <v>418.4</v>
      </c>
      <c r="AM7" t="str">
        <f t="shared" si="7"/>
        <v>O1P</v>
      </c>
      <c r="AN7" t="str">
        <f t="shared" si="1"/>
        <v>C1P</v>
      </c>
      <c r="AO7" t="str">
        <f t="shared" si="1"/>
        <v>C1P</v>
      </c>
      <c r="AQ7">
        <v>42</v>
      </c>
      <c r="AR7">
        <v>18</v>
      </c>
      <c r="AS7">
        <v>44</v>
      </c>
      <c r="AT7">
        <v>1</v>
      </c>
      <c r="AU7">
        <v>107.8</v>
      </c>
      <c r="AV7">
        <v>276.14400000000001</v>
      </c>
      <c r="AW7" t="str">
        <f t="shared" si="2"/>
        <v>HP</v>
      </c>
      <c r="AX7" t="str">
        <f t="shared" si="2"/>
        <v>C1P</v>
      </c>
      <c r="AY7" t="str">
        <f t="shared" si="2"/>
        <v>HP</v>
      </c>
      <c r="BA7">
        <v>7</v>
      </c>
      <c r="BB7">
        <v>6</v>
      </c>
      <c r="BC7">
        <v>5</v>
      </c>
      <c r="BD7">
        <v>4</v>
      </c>
      <c r="BE7">
        <v>3</v>
      </c>
      <c r="BF7">
        <v>1.7150000000000001</v>
      </c>
      <c r="BG7">
        <v>2.8450000000000002</v>
      </c>
      <c r="BH7">
        <v>1.046</v>
      </c>
      <c r="BI7">
        <v>-5.6070000000000002</v>
      </c>
      <c r="BJ7">
        <v>0</v>
      </c>
      <c r="BK7">
        <v>0</v>
      </c>
      <c r="BL7" t="str">
        <f t="shared" si="8"/>
        <v>C1P</v>
      </c>
      <c r="BM7" t="str">
        <f t="shared" si="3"/>
        <v>C1P</v>
      </c>
      <c r="BN7" t="str">
        <f t="shared" si="3"/>
        <v>O1P</v>
      </c>
      <c r="BO7" t="str">
        <f t="shared" si="3"/>
        <v>C1P</v>
      </c>
      <c r="BQ7">
        <v>11</v>
      </c>
      <c r="BR7">
        <v>10</v>
      </c>
      <c r="BS7">
        <v>9</v>
      </c>
      <c r="BT7">
        <v>8</v>
      </c>
      <c r="BU7">
        <v>3</v>
      </c>
      <c r="BV7">
        <v>-1.151</v>
      </c>
      <c r="BW7">
        <v>1.151</v>
      </c>
      <c r="BX7">
        <v>0</v>
      </c>
      <c r="BY7">
        <v>0</v>
      </c>
      <c r="BZ7">
        <v>0</v>
      </c>
      <c r="CA7">
        <v>0</v>
      </c>
      <c r="CB7" t="str">
        <f t="shared" si="4"/>
        <v>O1P</v>
      </c>
      <c r="CC7" t="str">
        <f t="shared" si="4"/>
        <v>C1P</v>
      </c>
      <c r="CD7" t="str">
        <f t="shared" si="4"/>
        <v>C1P</v>
      </c>
      <c r="CE7" t="str">
        <f t="shared" si="4"/>
        <v>O1P</v>
      </c>
    </row>
    <row r="8" spans="1:83" ht="60" x14ac:dyDescent="0.25">
      <c r="A8" s="1" t="s">
        <v>2</v>
      </c>
      <c r="B8">
        <v>6</v>
      </c>
      <c r="C8">
        <v>6.6000000000000003E-2</v>
      </c>
      <c r="D8">
        <v>3.5</v>
      </c>
      <c r="E8">
        <v>6</v>
      </c>
      <c r="F8">
        <v>12.010999999999999</v>
      </c>
      <c r="G8" t="s">
        <v>65</v>
      </c>
      <c r="Q8">
        <v>7</v>
      </c>
      <c r="R8">
        <v>6</v>
      </c>
      <c r="S8">
        <v>1</v>
      </c>
      <c r="T8">
        <v>0.15290000000000001</v>
      </c>
      <c r="U8">
        <v>224262.39999999999</v>
      </c>
      <c r="V8" t="str">
        <f t="shared" si="5"/>
        <v>C1P</v>
      </c>
      <c r="W8" t="str">
        <f t="shared" si="6"/>
        <v>C1P</v>
      </c>
      <c r="AG8">
        <v>6</v>
      </c>
      <c r="AH8">
        <v>7</v>
      </c>
      <c r="AI8">
        <v>8</v>
      </c>
      <c r="AJ8">
        <v>1</v>
      </c>
      <c r="AK8">
        <v>109.5</v>
      </c>
      <c r="AL8">
        <v>418.4</v>
      </c>
      <c r="AM8" t="str">
        <f t="shared" si="7"/>
        <v>C1P</v>
      </c>
      <c r="AN8" t="str">
        <f t="shared" si="1"/>
        <v>C1P</v>
      </c>
      <c r="AO8" t="str">
        <f t="shared" si="1"/>
        <v>O1P</v>
      </c>
      <c r="BA8">
        <v>9</v>
      </c>
      <c r="BB8">
        <v>8</v>
      </c>
      <c r="BC8">
        <v>7</v>
      </c>
      <c r="BD8">
        <v>6</v>
      </c>
      <c r="BE8">
        <v>3</v>
      </c>
      <c r="BF8">
        <v>1.7150000000000001</v>
      </c>
      <c r="BG8">
        <v>2.8450000000000002</v>
      </c>
      <c r="BH8">
        <v>1.046</v>
      </c>
      <c r="BI8">
        <v>-5.6070000000000002</v>
      </c>
      <c r="BJ8">
        <v>0</v>
      </c>
      <c r="BK8">
        <v>0</v>
      </c>
      <c r="BL8" t="str">
        <f t="shared" si="8"/>
        <v>C1P</v>
      </c>
      <c r="BM8" t="str">
        <f t="shared" si="3"/>
        <v>O1P</v>
      </c>
      <c r="BN8" t="str">
        <f t="shared" si="3"/>
        <v>C1P</v>
      </c>
      <c r="BO8" t="str">
        <f t="shared" si="3"/>
        <v>C1P</v>
      </c>
    </row>
    <row r="9" spans="1:83" x14ac:dyDescent="0.25">
      <c r="A9" t="s">
        <v>1</v>
      </c>
      <c r="B9">
        <v>7</v>
      </c>
      <c r="C9">
        <v>6.6000000000000003E-2</v>
      </c>
      <c r="D9">
        <v>3.5</v>
      </c>
      <c r="E9">
        <v>7</v>
      </c>
      <c r="F9">
        <v>12.010999999999999</v>
      </c>
      <c r="G9" t="s">
        <v>65</v>
      </c>
      <c r="Q9">
        <v>8</v>
      </c>
      <c r="R9">
        <v>7</v>
      </c>
      <c r="S9">
        <v>1</v>
      </c>
      <c r="T9">
        <v>0.14099999999999999</v>
      </c>
      <c r="U9">
        <v>267776</v>
      </c>
      <c r="V9" t="str">
        <f t="shared" si="5"/>
        <v>O1P</v>
      </c>
      <c r="W9" t="str">
        <f t="shared" si="6"/>
        <v>C1P</v>
      </c>
      <c r="AG9">
        <v>7</v>
      </c>
      <c r="AH9">
        <v>8</v>
      </c>
      <c r="AI9">
        <v>9</v>
      </c>
      <c r="AJ9">
        <v>1</v>
      </c>
      <c r="AK9">
        <v>109.5</v>
      </c>
      <c r="AL9">
        <v>502.08</v>
      </c>
      <c r="AM9" t="str">
        <f t="shared" si="7"/>
        <v>C1P</v>
      </c>
      <c r="AN9" t="str">
        <f t="shared" si="1"/>
        <v>O1P</v>
      </c>
      <c r="AO9" t="str">
        <f t="shared" si="1"/>
        <v>C1P</v>
      </c>
      <c r="BA9">
        <v>6</v>
      </c>
      <c r="BB9">
        <v>5</v>
      </c>
      <c r="BC9">
        <v>4</v>
      </c>
      <c r="BD9">
        <v>3</v>
      </c>
      <c r="BE9">
        <v>3</v>
      </c>
      <c r="BF9">
        <v>1.7150000000000001</v>
      </c>
      <c r="BG9">
        <v>2.8450000000000002</v>
      </c>
      <c r="BH9">
        <v>1.046</v>
      </c>
      <c r="BI9">
        <v>-5.6070000000000002</v>
      </c>
      <c r="BJ9">
        <v>0</v>
      </c>
      <c r="BK9">
        <v>0</v>
      </c>
      <c r="BL9" t="str">
        <f t="shared" si="8"/>
        <v>C1P</v>
      </c>
      <c r="BM9" t="str">
        <f t="shared" si="3"/>
        <v>O1P</v>
      </c>
      <c r="BN9" t="str">
        <f t="shared" si="3"/>
        <v>C1P</v>
      </c>
      <c r="BO9" t="str">
        <f t="shared" si="3"/>
        <v>C1P</v>
      </c>
    </row>
    <row r="10" spans="1:83" x14ac:dyDescent="0.25">
      <c r="A10" t="s">
        <v>0</v>
      </c>
      <c r="B10">
        <v>8</v>
      </c>
      <c r="C10">
        <v>0.14000000000000001</v>
      </c>
      <c r="D10">
        <v>2.9</v>
      </c>
      <c r="E10">
        <v>8</v>
      </c>
      <c r="F10">
        <v>15.999000000000001</v>
      </c>
      <c r="G10" t="s">
        <v>64</v>
      </c>
      <c r="Q10">
        <v>9</v>
      </c>
      <c r="R10">
        <v>8</v>
      </c>
      <c r="S10">
        <v>1</v>
      </c>
      <c r="T10">
        <v>0.14099999999999999</v>
      </c>
      <c r="U10">
        <v>267776</v>
      </c>
      <c r="V10" t="str">
        <f t="shared" si="5"/>
        <v>C1P</v>
      </c>
      <c r="W10" t="str">
        <f t="shared" si="6"/>
        <v>O1P</v>
      </c>
      <c r="AG10">
        <v>8</v>
      </c>
      <c r="AH10">
        <v>9</v>
      </c>
      <c r="AI10">
        <v>10</v>
      </c>
      <c r="AJ10">
        <v>1</v>
      </c>
      <c r="AK10">
        <v>109.5</v>
      </c>
      <c r="AL10">
        <v>418.4</v>
      </c>
      <c r="AM10" t="str">
        <f t="shared" si="7"/>
        <v>O1P</v>
      </c>
      <c r="AN10" t="str">
        <f t="shared" si="1"/>
        <v>C1P</v>
      </c>
      <c r="AO10" t="str">
        <f t="shared" si="1"/>
        <v>C1P</v>
      </c>
      <c r="BA10">
        <v>12</v>
      </c>
      <c r="BB10">
        <v>11</v>
      </c>
      <c r="BC10">
        <v>10</v>
      </c>
      <c r="BD10">
        <v>9</v>
      </c>
      <c r="BE10">
        <v>3</v>
      </c>
      <c r="BF10">
        <v>1.7150000000000001</v>
      </c>
      <c r="BG10">
        <v>2.8450000000000002</v>
      </c>
      <c r="BH10">
        <v>1.046</v>
      </c>
      <c r="BI10">
        <v>-5.6070000000000002</v>
      </c>
      <c r="BJ10">
        <v>0</v>
      </c>
      <c r="BK10">
        <v>0</v>
      </c>
      <c r="BL10" t="str">
        <f t="shared" si="8"/>
        <v>C1P</v>
      </c>
      <c r="BM10" t="str">
        <f t="shared" si="3"/>
        <v>O1P</v>
      </c>
      <c r="BN10" t="str">
        <f t="shared" si="3"/>
        <v>C1P</v>
      </c>
      <c r="BO10" t="str">
        <f t="shared" si="3"/>
        <v>C1P</v>
      </c>
    </row>
    <row r="11" spans="1:83" x14ac:dyDescent="0.25">
      <c r="B11">
        <v>9</v>
      </c>
      <c r="C11">
        <v>6.6000000000000003E-2</v>
      </c>
      <c r="D11">
        <v>3.5</v>
      </c>
      <c r="E11">
        <v>9</v>
      </c>
      <c r="F11">
        <v>12.010999999999999</v>
      </c>
      <c r="G11" t="s">
        <v>65</v>
      </c>
      <c r="Q11">
        <v>10</v>
      </c>
      <c r="R11">
        <v>9</v>
      </c>
      <c r="S11">
        <v>1</v>
      </c>
      <c r="T11">
        <v>0.15290000000000001</v>
      </c>
      <c r="U11">
        <v>224262.39999999999</v>
      </c>
      <c r="V11" t="str">
        <f t="shared" si="5"/>
        <v>C1P</v>
      </c>
      <c r="W11" t="str">
        <f t="shared" si="6"/>
        <v>C1P</v>
      </c>
      <c r="AG11">
        <v>9</v>
      </c>
      <c r="AH11">
        <v>10</v>
      </c>
      <c r="AI11">
        <v>11</v>
      </c>
      <c r="AJ11">
        <v>1</v>
      </c>
      <c r="AK11">
        <v>109.5</v>
      </c>
      <c r="AL11">
        <v>418.4</v>
      </c>
      <c r="AM11" t="str">
        <f t="shared" si="7"/>
        <v>C1P</v>
      </c>
      <c r="AN11" t="str">
        <f t="shared" si="1"/>
        <v>C1P</v>
      </c>
      <c r="AO11" t="str">
        <f t="shared" si="1"/>
        <v>O1P</v>
      </c>
      <c r="BA11">
        <v>15</v>
      </c>
      <c r="BB11">
        <v>14</v>
      </c>
      <c r="BC11">
        <v>13</v>
      </c>
      <c r="BD11">
        <v>12</v>
      </c>
      <c r="BE11">
        <v>3</v>
      </c>
      <c r="BF11">
        <v>1.7150000000000001</v>
      </c>
      <c r="BG11">
        <v>2.8450000000000002</v>
      </c>
      <c r="BH11">
        <v>1.046</v>
      </c>
      <c r="BI11">
        <v>-5.6070000000000002</v>
      </c>
      <c r="BJ11">
        <v>0</v>
      </c>
      <c r="BK11">
        <v>0</v>
      </c>
      <c r="BL11" t="str">
        <f t="shared" si="8"/>
        <v>C1P</v>
      </c>
      <c r="BM11" t="str">
        <f t="shared" si="3"/>
        <v>O1P</v>
      </c>
      <c r="BN11" t="str">
        <f t="shared" si="3"/>
        <v>C1P</v>
      </c>
      <c r="BO11" t="str">
        <f t="shared" si="3"/>
        <v>C1P</v>
      </c>
    </row>
    <row r="12" spans="1:83" x14ac:dyDescent="0.25">
      <c r="B12">
        <v>10</v>
      </c>
      <c r="C12">
        <v>6.6000000000000003E-2</v>
      </c>
      <c r="D12">
        <v>3.5</v>
      </c>
      <c r="E12">
        <v>10</v>
      </c>
      <c r="F12">
        <v>12.010999999999999</v>
      </c>
      <c r="G12" t="s">
        <v>65</v>
      </c>
      <c r="Q12">
        <v>11</v>
      </c>
      <c r="R12">
        <v>10</v>
      </c>
      <c r="S12">
        <v>1</v>
      </c>
      <c r="T12">
        <v>0.14099999999999999</v>
      </c>
      <c r="U12">
        <v>267776</v>
      </c>
      <c r="V12" t="str">
        <f t="shared" si="5"/>
        <v>O1P</v>
      </c>
      <c r="W12" t="str">
        <f t="shared" si="6"/>
        <v>C1P</v>
      </c>
      <c r="AG12">
        <v>10</v>
      </c>
      <c r="AH12">
        <v>11</v>
      </c>
      <c r="AI12">
        <v>12</v>
      </c>
      <c r="AJ12">
        <v>1</v>
      </c>
      <c r="AK12">
        <v>109.5</v>
      </c>
      <c r="AL12">
        <v>502.08</v>
      </c>
      <c r="AM12" t="str">
        <f t="shared" si="7"/>
        <v>C1P</v>
      </c>
      <c r="AN12" t="str">
        <f t="shared" si="1"/>
        <v>O1P</v>
      </c>
      <c r="AO12" t="str">
        <f t="shared" si="1"/>
        <v>C1P</v>
      </c>
      <c r="BA12">
        <v>18</v>
      </c>
      <c r="BB12">
        <v>17</v>
      </c>
      <c r="BC12">
        <v>16</v>
      </c>
      <c r="BD12">
        <v>15</v>
      </c>
      <c r="BE12">
        <v>3</v>
      </c>
      <c r="BF12">
        <v>1.7150000000000001</v>
      </c>
      <c r="BG12">
        <v>2.8450000000000002</v>
      </c>
      <c r="BH12">
        <v>1.046</v>
      </c>
      <c r="BI12">
        <v>-5.6070000000000002</v>
      </c>
      <c r="BJ12">
        <v>0</v>
      </c>
      <c r="BK12">
        <v>0</v>
      </c>
      <c r="BL12" t="str">
        <f t="shared" si="8"/>
        <v>C1P</v>
      </c>
      <c r="BM12" t="str">
        <f t="shared" si="3"/>
        <v>O1P</v>
      </c>
      <c r="BN12" t="str">
        <f t="shared" si="3"/>
        <v>C1P</v>
      </c>
      <c r="BO12" t="str">
        <f t="shared" si="3"/>
        <v>C1P</v>
      </c>
    </row>
    <row r="13" spans="1:83" x14ac:dyDescent="0.25">
      <c r="B13">
        <v>11</v>
      </c>
      <c r="C13">
        <v>0.14000000000000001</v>
      </c>
      <c r="D13">
        <v>2.9</v>
      </c>
      <c r="E13">
        <v>11</v>
      </c>
      <c r="F13">
        <v>15.999000000000001</v>
      </c>
      <c r="G13" t="s">
        <v>64</v>
      </c>
      <c r="Q13">
        <v>12</v>
      </c>
      <c r="R13">
        <v>11</v>
      </c>
      <c r="S13">
        <v>1</v>
      </c>
      <c r="T13">
        <v>0.14099999999999999</v>
      </c>
      <c r="U13">
        <v>267776</v>
      </c>
      <c r="V13" t="str">
        <f t="shared" si="5"/>
        <v>C1P</v>
      </c>
      <c r="W13" t="str">
        <f t="shared" si="6"/>
        <v>O1P</v>
      </c>
      <c r="AG13">
        <v>11</v>
      </c>
      <c r="AH13">
        <v>12</v>
      </c>
      <c r="AI13">
        <v>13</v>
      </c>
      <c r="AJ13">
        <v>1</v>
      </c>
      <c r="AK13">
        <v>109.5</v>
      </c>
      <c r="AL13">
        <v>418.4</v>
      </c>
      <c r="AM13" t="str">
        <f t="shared" si="7"/>
        <v>O1P</v>
      </c>
      <c r="AN13" t="str">
        <f t="shared" si="1"/>
        <v>C1P</v>
      </c>
      <c r="AO13" t="str">
        <f t="shared" si="1"/>
        <v>C1P</v>
      </c>
      <c r="BA13">
        <v>24</v>
      </c>
      <c r="BB13">
        <v>4</v>
      </c>
      <c r="BC13">
        <v>3</v>
      </c>
      <c r="BD13">
        <v>23</v>
      </c>
      <c r="BE13">
        <v>3</v>
      </c>
      <c r="BF13">
        <v>0.628</v>
      </c>
      <c r="BG13">
        <v>1.883</v>
      </c>
      <c r="BH13">
        <v>0</v>
      </c>
      <c r="BI13">
        <v>-2.5099999999999998</v>
      </c>
      <c r="BJ13">
        <v>0</v>
      </c>
      <c r="BK13">
        <v>0</v>
      </c>
      <c r="BL13" t="str">
        <f t="shared" si="8"/>
        <v>HP</v>
      </c>
      <c r="BM13" t="str">
        <f t="shared" si="3"/>
        <v>C1P</v>
      </c>
      <c r="BN13" t="str">
        <f t="shared" si="3"/>
        <v>C1P</v>
      </c>
      <c r="BO13" t="str">
        <f t="shared" si="3"/>
        <v>HP</v>
      </c>
    </row>
    <row r="14" spans="1:83" x14ac:dyDescent="0.25">
      <c r="B14">
        <v>12</v>
      </c>
      <c r="C14">
        <v>6.6000000000000003E-2</v>
      </c>
      <c r="D14">
        <v>3.5</v>
      </c>
      <c r="E14">
        <v>12</v>
      </c>
      <c r="F14">
        <v>12.010999999999999</v>
      </c>
      <c r="G14" t="s">
        <v>65</v>
      </c>
      <c r="Q14">
        <v>13</v>
      </c>
      <c r="R14">
        <v>12</v>
      </c>
      <c r="S14">
        <v>1</v>
      </c>
      <c r="T14">
        <v>0.15290000000000001</v>
      </c>
      <c r="U14">
        <v>224262.39999999999</v>
      </c>
      <c r="V14" t="str">
        <f t="shared" si="5"/>
        <v>C1P</v>
      </c>
      <c r="W14" t="str">
        <f t="shared" si="6"/>
        <v>C1P</v>
      </c>
      <c r="AG14">
        <v>12</v>
      </c>
      <c r="AH14">
        <v>13</v>
      </c>
      <c r="AI14">
        <v>14</v>
      </c>
      <c r="AJ14">
        <v>1</v>
      </c>
      <c r="AK14">
        <v>109.5</v>
      </c>
      <c r="AL14">
        <v>418.4</v>
      </c>
      <c r="AM14" t="str">
        <f t="shared" si="7"/>
        <v>C1P</v>
      </c>
      <c r="AN14" t="str">
        <f t="shared" si="1"/>
        <v>C1P</v>
      </c>
      <c r="AO14" t="str">
        <f t="shared" si="1"/>
        <v>O1P</v>
      </c>
      <c r="BA14">
        <v>33</v>
      </c>
      <c r="BB14">
        <v>10</v>
      </c>
      <c r="BC14">
        <v>9</v>
      </c>
      <c r="BD14">
        <v>30</v>
      </c>
      <c r="BE14">
        <v>3</v>
      </c>
      <c r="BF14">
        <v>0.628</v>
      </c>
      <c r="BG14">
        <v>1.883</v>
      </c>
      <c r="BH14">
        <v>0</v>
      </c>
      <c r="BI14">
        <v>-2.5099999999999998</v>
      </c>
      <c r="BJ14">
        <v>0</v>
      </c>
      <c r="BK14">
        <v>0</v>
      </c>
      <c r="BL14" t="str">
        <f t="shared" si="8"/>
        <v>HP</v>
      </c>
      <c r="BM14" t="str">
        <f t="shared" si="3"/>
        <v>C1P</v>
      </c>
      <c r="BN14" t="str">
        <f t="shared" si="3"/>
        <v>C1P</v>
      </c>
      <c r="BO14" t="str">
        <f t="shared" si="3"/>
        <v>HP</v>
      </c>
    </row>
    <row r="15" spans="1:83" x14ac:dyDescent="0.25">
      <c r="A15" s="5" t="s">
        <v>62</v>
      </c>
      <c r="B15">
        <v>13</v>
      </c>
      <c r="C15">
        <v>6.6000000000000003E-2</v>
      </c>
      <c r="D15">
        <v>3.5</v>
      </c>
      <c r="E15">
        <v>13</v>
      </c>
      <c r="F15">
        <v>12.010999999999999</v>
      </c>
      <c r="G15" t="s">
        <v>65</v>
      </c>
      <c r="Q15">
        <v>14</v>
      </c>
      <c r="R15">
        <v>13</v>
      </c>
      <c r="S15">
        <v>1</v>
      </c>
      <c r="T15">
        <v>0.14099999999999999</v>
      </c>
      <c r="U15">
        <v>267776</v>
      </c>
      <c r="V15" t="str">
        <f t="shared" si="5"/>
        <v>O1P</v>
      </c>
      <c r="W15" t="str">
        <f t="shared" si="6"/>
        <v>C1P</v>
      </c>
      <c r="AG15">
        <v>13</v>
      </c>
      <c r="AH15">
        <v>14</v>
      </c>
      <c r="AI15">
        <v>15</v>
      </c>
      <c r="AJ15">
        <v>1</v>
      </c>
      <c r="AK15">
        <v>109.5</v>
      </c>
      <c r="AL15">
        <v>502.08</v>
      </c>
      <c r="AM15" t="str">
        <f t="shared" si="7"/>
        <v>C1P</v>
      </c>
      <c r="AN15" t="str">
        <f t="shared" si="1"/>
        <v>O1P</v>
      </c>
      <c r="AO15" t="str">
        <f t="shared" si="1"/>
        <v>C1P</v>
      </c>
      <c r="BA15">
        <v>33</v>
      </c>
      <c r="BB15">
        <v>10</v>
      </c>
      <c r="BC15">
        <v>9</v>
      </c>
      <c r="BD15">
        <v>31</v>
      </c>
      <c r="BE15">
        <v>3</v>
      </c>
      <c r="BF15">
        <v>0.628</v>
      </c>
      <c r="BG15">
        <v>1.883</v>
      </c>
      <c r="BH15">
        <v>0</v>
      </c>
      <c r="BI15">
        <v>-2.5099999999999998</v>
      </c>
      <c r="BJ15">
        <v>0</v>
      </c>
      <c r="BK15">
        <v>0</v>
      </c>
      <c r="BL15" t="str">
        <f t="shared" si="8"/>
        <v>HP</v>
      </c>
      <c r="BM15" t="str">
        <f t="shared" si="3"/>
        <v>C1P</v>
      </c>
      <c r="BN15" t="str">
        <f t="shared" si="3"/>
        <v>C1P</v>
      </c>
      <c r="BO15" t="str">
        <f t="shared" si="3"/>
        <v>HP</v>
      </c>
    </row>
    <row r="16" spans="1:83" x14ac:dyDescent="0.25">
      <c r="B16">
        <v>14</v>
      </c>
      <c r="C16">
        <v>0.14000000000000001</v>
      </c>
      <c r="D16">
        <v>2.9</v>
      </c>
      <c r="E16">
        <v>14</v>
      </c>
      <c r="F16">
        <v>15.999000000000001</v>
      </c>
      <c r="G16" t="s">
        <v>64</v>
      </c>
      <c r="Q16">
        <v>15</v>
      </c>
      <c r="R16">
        <v>14</v>
      </c>
      <c r="S16">
        <v>1</v>
      </c>
      <c r="T16">
        <v>0.14099999999999999</v>
      </c>
      <c r="U16">
        <v>267776</v>
      </c>
      <c r="V16" t="str">
        <f t="shared" si="5"/>
        <v>C1P</v>
      </c>
      <c r="W16" t="str">
        <f t="shared" si="6"/>
        <v>O1P</v>
      </c>
      <c r="AG16">
        <v>14</v>
      </c>
      <c r="AH16">
        <v>15</v>
      </c>
      <c r="AI16">
        <v>16</v>
      </c>
      <c r="AJ16">
        <v>1</v>
      </c>
      <c r="AK16">
        <v>109.5</v>
      </c>
      <c r="AL16">
        <v>418.4</v>
      </c>
      <c r="AM16" t="str">
        <f t="shared" si="7"/>
        <v>O1P</v>
      </c>
      <c r="AN16" t="str">
        <f t="shared" si="1"/>
        <v>C1P</v>
      </c>
      <c r="AO16" t="str">
        <f t="shared" si="1"/>
        <v>C1P</v>
      </c>
      <c r="BA16">
        <v>37</v>
      </c>
      <c r="BB16">
        <v>13</v>
      </c>
      <c r="BC16">
        <v>12</v>
      </c>
      <c r="BD16">
        <v>34</v>
      </c>
      <c r="BE16">
        <v>3</v>
      </c>
      <c r="BF16">
        <v>0.628</v>
      </c>
      <c r="BG16">
        <v>1.883</v>
      </c>
      <c r="BH16">
        <v>0</v>
      </c>
      <c r="BI16">
        <v>-2.5099999999999998</v>
      </c>
      <c r="BJ16">
        <v>0</v>
      </c>
      <c r="BK16">
        <v>0</v>
      </c>
      <c r="BL16" t="str">
        <f t="shared" si="8"/>
        <v>HP</v>
      </c>
      <c r="BM16" t="str">
        <f t="shared" si="3"/>
        <v>C1P</v>
      </c>
      <c r="BN16" t="str">
        <f t="shared" si="3"/>
        <v>C1P</v>
      </c>
      <c r="BO16" t="str">
        <f t="shared" si="3"/>
        <v>HP</v>
      </c>
    </row>
    <row r="17" spans="2:67" x14ac:dyDescent="0.25">
      <c r="B17">
        <v>15</v>
      </c>
      <c r="C17">
        <v>6.6000000000000003E-2</v>
      </c>
      <c r="D17">
        <v>3.5</v>
      </c>
      <c r="E17">
        <v>15</v>
      </c>
      <c r="F17">
        <v>12.010999999999999</v>
      </c>
      <c r="G17" t="s">
        <v>65</v>
      </c>
      <c r="Q17">
        <v>16</v>
      </c>
      <c r="R17">
        <v>15</v>
      </c>
      <c r="S17">
        <v>1</v>
      </c>
      <c r="T17">
        <v>0.15290000000000001</v>
      </c>
      <c r="U17">
        <v>224262.39999999999</v>
      </c>
      <c r="V17" t="str">
        <f t="shared" si="5"/>
        <v>C1P</v>
      </c>
      <c r="W17" t="str">
        <f t="shared" si="6"/>
        <v>C1P</v>
      </c>
      <c r="AG17">
        <v>15</v>
      </c>
      <c r="AH17">
        <v>16</v>
      </c>
      <c r="AI17">
        <v>17</v>
      </c>
      <c r="AJ17">
        <v>1</v>
      </c>
      <c r="AK17">
        <v>109.5</v>
      </c>
      <c r="AL17">
        <v>418.4</v>
      </c>
      <c r="AM17" t="str">
        <f t="shared" si="7"/>
        <v>C1P</v>
      </c>
      <c r="AN17" t="str">
        <f t="shared" si="1"/>
        <v>C1P</v>
      </c>
      <c r="AO17" t="str">
        <f t="shared" si="1"/>
        <v>O1P</v>
      </c>
      <c r="BA17">
        <v>25</v>
      </c>
      <c r="BB17">
        <v>4</v>
      </c>
      <c r="BC17">
        <v>3</v>
      </c>
      <c r="BD17">
        <v>22</v>
      </c>
      <c r="BE17">
        <v>3</v>
      </c>
      <c r="BF17">
        <v>0.628</v>
      </c>
      <c r="BG17">
        <v>1.883</v>
      </c>
      <c r="BH17">
        <v>0</v>
      </c>
      <c r="BI17">
        <v>-2.5099999999999998</v>
      </c>
      <c r="BJ17">
        <v>0</v>
      </c>
      <c r="BK17">
        <v>0</v>
      </c>
      <c r="BL17" t="str">
        <f t="shared" si="8"/>
        <v>HP</v>
      </c>
      <c r="BM17" t="str">
        <f t="shared" si="3"/>
        <v>C1P</v>
      </c>
      <c r="BN17" t="str">
        <f t="shared" si="3"/>
        <v>C1P</v>
      </c>
      <c r="BO17" t="str">
        <f t="shared" si="3"/>
        <v>HP</v>
      </c>
    </row>
    <row r="18" spans="2:67" x14ac:dyDescent="0.25">
      <c r="B18">
        <v>16</v>
      </c>
      <c r="C18">
        <v>6.6000000000000003E-2</v>
      </c>
      <c r="D18">
        <v>3.5</v>
      </c>
      <c r="E18">
        <v>16</v>
      </c>
      <c r="F18">
        <v>12.010999999999999</v>
      </c>
      <c r="G18" t="s">
        <v>65</v>
      </c>
      <c r="Q18">
        <v>17</v>
      </c>
      <c r="R18">
        <v>16</v>
      </c>
      <c r="S18">
        <v>1</v>
      </c>
      <c r="T18">
        <v>0.14099999999999999</v>
      </c>
      <c r="U18">
        <v>267776</v>
      </c>
      <c r="V18" t="str">
        <f t="shared" si="5"/>
        <v>O1P</v>
      </c>
      <c r="W18" t="str">
        <f t="shared" si="6"/>
        <v>C1P</v>
      </c>
      <c r="AG18">
        <v>16</v>
      </c>
      <c r="AH18">
        <v>17</v>
      </c>
      <c r="AI18">
        <v>18</v>
      </c>
      <c r="AJ18">
        <v>1</v>
      </c>
      <c r="AK18">
        <v>109.5</v>
      </c>
      <c r="AL18">
        <v>502.08</v>
      </c>
      <c r="AM18" t="str">
        <f t="shared" si="7"/>
        <v>C1P</v>
      </c>
      <c r="AN18" t="str">
        <f t="shared" si="1"/>
        <v>O1P</v>
      </c>
      <c r="AO18" t="str">
        <f t="shared" si="1"/>
        <v>C1P</v>
      </c>
      <c r="BA18">
        <v>41</v>
      </c>
      <c r="BB18">
        <v>16</v>
      </c>
      <c r="BC18">
        <v>15</v>
      </c>
      <c r="BD18">
        <v>39</v>
      </c>
      <c r="BE18">
        <v>3</v>
      </c>
      <c r="BF18">
        <v>0.628</v>
      </c>
      <c r="BG18">
        <v>1.883</v>
      </c>
      <c r="BH18">
        <v>0</v>
      </c>
      <c r="BI18">
        <v>-2.5099999999999998</v>
      </c>
      <c r="BJ18">
        <v>0</v>
      </c>
      <c r="BK18">
        <v>0</v>
      </c>
      <c r="BL18" t="str">
        <f t="shared" si="8"/>
        <v>HP</v>
      </c>
      <c r="BM18" t="str">
        <f t="shared" si="3"/>
        <v>C1P</v>
      </c>
      <c r="BN18" t="str">
        <f t="shared" si="3"/>
        <v>C1P</v>
      </c>
      <c r="BO18" t="str">
        <f t="shared" si="3"/>
        <v>HP</v>
      </c>
    </row>
    <row r="19" spans="2:67" x14ac:dyDescent="0.25">
      <c r="B19">
        <v>17</v>
      </c>
      <c r="C19">
        <v>0.14000000000000001</v>
      </c>
      <c r="D19">
        <v>2.9</v>
      </c>
      <c r="E19">
        <v>17</v>
      </c>
      <c r="F19">
        <v>15.999000000000001</v>
      </c>
      <c r="G19" t="s">
        <v>64</v>
      </c>
      <c r="Q19">
        <v>18</v>
      </c>
      <c r="R19">
        <v>17</v>
      </c>
      <c r="S19">
        <v>1</v>
      </c>
      <c r="T19">
        <v>0.14099999999999999</v>
      </c>
      <c r="U19">
        <v>267776</v>
      </c>
      <c r="V19" t="str">
        <f t="shared" si="5"/>
        <v>C1P</v>
      </c>
      <c r="W19" t="str">
        <f t="shared" si="6"/>
        <v>O1P</v>
      </c>
      <c r="AG19">
        <v>2</v>
      </c>
      <c r="AH19">
        <v>1</v>
      </c>
      <c r="AI19">
        <v>19</v>
      </c>
      <c r="AJ19">
        <v>1</v>
      </c>
      <c r="AK19">
        <v>109.5</v>
      </c>
      <c r="AL19">
        <v>292.88</v>
      </c>
      <c r="AM19" t="str">
        <f t="shared" si="7"/>
        <v>O1P</v>
      </c>
      <c r="AN19" t="str">
        <f t="shared" si="7"/>
        <v>C1P</v>
      </c>
      <c r="AO19" t="str">
        <f t="shared" si="7"/>
        <v>HP</v>
      </c>
      <c r="BA19">
        <v>37</v>
      </c>
      <c r="BB19">
        <v>13</v>
      </c>
      <c r="BC19">
        <v>12</v>
      </c>
      <c r="BD19">
        <v>35</v>
      </c>
      <c r="BE19">
        <v>3</v>
      </c>
      <c r="BF19">
        <v>0.628</v>
      </c>
      <c r="BG19">
        <v>1.883</v>
      </c>
      <c r="BH19">
        <v>0</v>
      </c>
      <c r="BI19">
        <v>-2.5099999999999998</v>
      </c>
      <c r="BJ19">
        <v>0</v>
      </c>
      <c r="BK19">
        <v>0</v>
      </c>
      <c r="BL19" t="str">
        <f t="shared" si="8"/>
        <v>HP</v>
      </c>
      <c r="BM19" t="str">
        <f t="shared" si="8"/>
        <v>C1P</v>
      </c>
      <c r="BN19" t="str">
        <f t="shared" si="8"/>
        <v>C1P</v>
      </c>
      <c r="BO19" t="str">
        <f t="shared" si="8"/>
        <v>HP</v>
      </c>
    </row>
    <row r="20" spans="2:67" x14ac:dyDescent="0.25">
      <c r="B20">
        <v>18</v>
      </c>
      <c r="C20">
        <v>6.6000000000000003E-2</v>
      </c>
      <c r="D20">
        <v>3.5</v>
      </c>
      <c r="E20">
        <v>18</v>
      </c>
      <c r="F20">
        <v>12.010999999999999</v>
      </c>
      <c r="G20" t="s">
        <v>65</v>
      </c>
      <c r="Q20">
        <v>19</v>
      </c>
      <c r="R20">
        <v>1</v>
      </c>
      <c r="S20">
        <v>1</v>
      </c>
      <c r="T20">
        <v>0.109</v>
      </c>
      <c r="U20">
        <v>284512</v>
      </c>
      <c r="V20" t="str">
        <f t="shared" si="5"/>
        <v>HP</v>
      </c>
      <c r="W20" t="str">
        <f t="shared" si="6"/>
        <v>C1P</v>
      </c>
      <c r="AG20">
        <v>2</v>
      </c>
      <c r="AH20">
        <v>1</v>
      </c>
      <c r="AI20">
        <v>20</v>
      </c>
      <c r="AJ20">
        <v>1</v>
      </c>
      <c r="AK20">
        <v>109.5</v>
      </c>
      <c r="AL20">
        <v>292.88</v>
      </c>
      <c r="AM20" t="str">
        <f t="shared" si="7"/>
        <v>O1P</v>
      </c>
      <c r="AN20" t="str">
        <f t="shared" si="7"/>
        <v>C1P</v>
      </c>
      <c r="AO20" t="str">
        <f t="shared" si="7"/>
        <v>HP</v>
      </c>
      <c r="BA20">
        <v>32</v>
      </c>
      <c r="BB20">
        <v>10</v>
      </c>
      <c r="BC20">
        <v>9</v>
      </c>
      <c r="BD20">
        <v>31</v>
      </c>
      <c r="BE20">
        <v>3</v>
      </c>
      <c r="BF20">
        <v>0.628</v>
      </c>
      <c r="BG20">
        <v>1.883</v>
      </c>
      <c r="BH20">
        <v>0</v>
      </c>
      <c r="BI20">
        <v>-2.5099999999999998</v>
      </c>
      <c r="BJ20">
        <v>0</v>
      </c>
      <c r="BK20">
        <v>0</v>
      </c>
      <c r="BL20" t="str">
        <f t="shared" si="8"/>
        <v>HP</v>
      </c>
      <c r="BM20" t="str">
        <f t="shared" si="8"/>
        <v>C1P</v>
      </c>
      <c r="BN20" t="str">
        <f t="shared" si="8"/>
        <v>C1P</v>
      </c>
      <c r="BO20" t="str">
        <f t="shared" si="8"/>
        <v>HP</v>
      </c>
    </row>
    <row r="21" spans="2:67" x14ac:dyDescent="0.25">
      <c r="B21">
        <v>19</v>
      </c>
      <c r="C21">
        <v>0.03</v>
      </c>
      <c r="D21">
        <v>2.5</v>
      </c>
      <c r="E21">
        <v>19</v>
      </c>
      <c r="F21">
        <v>1.008</v>
      </c>
      <c r="G21" t="s">
        <v>63</v>
      </c>
      <c r="Q21">
        <v>20</v>
      </c>
      <c r="R21">
        <v>1</v>
      </c>
      <c r="S21">
        <v>1</v>
      </c>
      <c r="T21">
        <v>0.109</v>
      </c>
      <c r="U21">
        <v>284512</v>
      </c>
      <c r="V21" t="str">
        <f t="shared" si="5"/>
        <v>HP</v>
      </c>
      <c r="W21" t="str">
        <f t="shared" si="6"/>
        <v>C1P</v>
      </c>
      <c r="AG21">
        <v>2</v>
      </c>
      <c r="AH21">
        <v>1</v>
      </c>
      <c r="AI21">
        <v>21</v>
      </c>
      <c r="AJ21">
        <v>1</v>
      </c>
      <c r="AK21">
        <v>109.5</v>
      </c>
      <c r="AL21">
        <v>292.88</v>
      </c>
      <c r="AM21" t="str">
        <f t="shared" si="7"/>
        <v>O1P</v>
      </c>
      <c r="AN21" t="str">
        <f t="shared" si="7"/>
        <v>C1P</v>
      </c>
      <c r="AO21" t="str">
        <f t="shared" si="7"/>
        <v>HP</v>
      </c>
      <c r="BA21">
        <v>28</v>
      </c>
      <c r="BB21">
        <v>7</v>
      </c>
      <c r="BC21">
        <v>6</v>
      </c>
      <c r="BD21">
        <v>26</v>
      </c>
      <c r="BE21">
        <v>3</v>
      </c>
      <c r="BF21">
        <v>0.628</v>
      </c>
      <c r="BG21">
        <v>1.883</v>
      </c>
      <c r="BH21">
        <v>0</v>
      </c>
      <c r="BI21">
        <v>-2.5099999999999998</v>
      </c>
      <c r="BJ21">
        <v>0</v>
      </c>
      <c r="BK21">
        <v>0</v>
      </c>
      <c r="BL21" t="str">
        <f t="shared" si="8"/>
        <v>HP</v>
      </c>
      <c r="BM21" t="str">
        <f t="shared" si="8"/>
        <v>C1P</v>
      </c>
      <c r="BN21" t="str">
        <f t="shared" si="8"/>
        <v>C1P</v>
      </c>
      <c r="BO21" t="str">
        <f t="shared" si="8"/>
        <v>HP</v>
      </c>
    </row>
    <row r="22" spans="2:67" x14ac:dyDescent="0.25">
      <c r="B22">
        <v>20</v>
      </c>
      <c r="C22">
        <v>0.03</v>
      </c>
      <c r="D22">
        <v>2.5</v>
      </c>
      <c r="E22">
        <v>20</v>
      </c>
      <c r="F22">
        <v>1.008</v>
      </c>
      <c r="G22" t="s">
        <v>63</v>
      </c>
      <c r="Q22">
        <v>21</v>
      </c>
      <c r="R22">
        <v>1</v>
      </c>
      <c r="S22">
        <v>1</v>
      </c>
      <c r="T22">
        <v>0.109</v>
      </c>
      <c r="U22">
        <v>284512</v>
      </c>
      <c r="V22" t="str">
        <f t="shared" si="5"/>
        <v>HP</v>
      </c>
      <c r="W22" t="str">
        <f t="shared" si="6"/>
        <v>C1P</v>
      </c>
      <c r="AG22">
        <v>2</v>
      </c>
      <c r="AH22">
        <v>3</v>
      </c>
      <c r="AI22">
        <v>22</v>
      </c>
      <c r="AJ22">
        <v>1</v>
      </c>
      <c r="AK22">
        <v>109.5</v>
      </c>
      <c r="AL22">
        <v>292.88</v>
      </c>
      <c r="AM22" t="str">
        <f t="shared" si="7"/>
        <v>O1P</v>
      </c>
      <c r="AN22" t="str">
        <f t="shared" si="7"/>
        <v>C1P</v>
      </c>
      <c r="AO22" t="str">
        <f t="shared" si="7"/>
        <v>HP</v>
      </c>
      <c r="BA22">
        <v>41</v>
      </c>
      <c r="BB22">
        <v>16</v>
      </c>
      <c r="BC22">
        <v>15</v>
      </c>
      <c r="BD22">
        <v>38</v>
      </c>
      <c r="BE22">
        <v>3</v>
      </c>
      <c r="BF22">
        <v>0.628</v>
      </c>
      <c r="BG22">
        <v>1.883</v>
      </c>
      <c r="BH22">
        <v>0</v>
      </c>
      <c r="BI22">
        <v>-2.5099999999999998</v>
      </c>
      <c r="BJ22">
        <v>0</v>
      </c>
      <c r="BK22">
        <v>0</v>
      </c>
      <c r="BL22" t="str">
        <f t="shared" si="8"/>
        <v>HP</v>
      </c>
      <c r="BM22" t="str">
        <f t="shared" si="8"/>
        <v>C1P</v>
      </c>
      <c r="BN22" t="str">
        <f t="shared" si="8"/>
        <v>C1P</v>
      </c>
      <c r="BO22" t="str">
        <f t="shared" si="8"/>
        <v>HP</v>
      </c>
    </row>
    <row r="23" spans="2:67" x14ac:dyDescent="0.25">
      <c r="B23">
        <v>21</v>
      </c>
      <c r="C23">
        <v>0.03</v>
      </c>
      <c r="D23">
        <v>2.5</v>
      </c>
      <c r="E23">
        <v>21</v>
      </c>
      <c r="F23">
        <v>1.008</v>
      </c>
      <c r="G23" t="s">
        <v>63</v>
      </c>
      <c r="Q23">
        <v>22</v>
      </c>
      <c r="R23">
        <v>3</v>
      </c>
      <c r="S23">
        <v>1</v>
      </c>
      <c r="T23">
        <v>0.109</v>
      </c>
      <c r="U23">
        <v>284512</v>
      </c>
      <c r="V23" t="str">
        <f t="shared" si="5"/>
        <v>HP</v>
      </c>
      <c r="W23" t="str">
        <f t="shared" si="6"/>
        <v>C1P</v>
      </c>
      <c r="AG23">
        <v>2</v>
      </c>
      <c r="AH23">
        <v>3</v>
      </c>
      <c r="AI23">
        <v>23</v>
      </c>
      <c r="AJ23">
        <v>1</v>
      </c>
      <c r="AK23">
        <v>109.5</v>
      </c>
      <c r="AL23">
        <v>292.88</v>
      </c>
      <c r="AM23" t="str">
        <f t="shared" si="7"/>
        <v>O1P</v>
      </c>
      <c r="AN23" t="str">
        <f t="shared" si="7"/>
        <v>C1P</v>
      </c>
      <c r="AO23" t="str">
        <f t="shared" si="7"/>
        <v>HP</v>
      </c>
      <c r="BA23">
        <v>40</v>
      </c>
      <c r="BB23">
        <v>16</v>
      </c>
      <c r="BC23">
        <v>15</v>
      </c>
      <c r="BD23">
        <v>39</v>
      </c>
      <c r="BE23">
        <v>3</v>
      </c>
      <c r="BF23">
        <v>0.628</v>
      </c>
      <c r="BG23">
        <v>1.883</v>
      </c>
      <c r="BH23">
        <v>0</v>
      </c>
      <c r="BI23">
        <v>-2.5099999999999998</v>
      </c>
      <c r="BJ23">
        <v>0</v>
      </c>
      <c r="BK23">
        <v>0</v>
      </c>
      <c r="BL23" t="str">
        <f t="shared" si="8"/>
        <v>HP</v>
      </c>
      <c r="BM23" t="str">
        <f t="shared" si="8"/>
        <v>C1P</v>
      </c>
      <c r="BN23" t="str">
        <f t="shared" si="8"/>
        <v>C1P</v>
      </c>
      <c r="BO23" t="str">
        <f t="shared" si="8"/>
        <v>HP</v>
      </c>
    </row>
    <row r="24" spans="2:67" x14ac:dyDescent="0.25">
      <c r="B24">
        <v>22</v>
      </c>
      <c r="C24">
        <v>0.03</v>
      </c>
      <c r="D24">
        <v>2.5</v>
      </c>
      <c r="E24">
        <v>22</v>
      </c>
      <c r="F24">
        <v>1.008</v>
      </c>
      <c r="G24" t="s">
        <v>63</v>
      </c>
      <c r="Q24">
        <v>23</v>
      </c>
      <c r="R24">
        <v>3</v>
      </c>
      <c r="S24">
        <v>1</v>
      </c>
      <c r="T24">
        <v>0.109</v>
      </c>
      <c r="U24">
        <v>284512</v>
      </c>
      <c r="V24" t="str">
        <f t="shared" si="5"/>
        <v>HP</v>
      </c>
      <c r="W24" t="str">
        <f t="shared" si="6"/>
        <v>C1P</v>
      </c>
      <c r="AG24">
        <v>3</v>
      </c>
      <c r="AH24">
        <v>4</v>
      </c>
      <c r="AI24">
        <v>24</v>
      </c>
      <c r="AJ24">
        <v>1</v>
      </c>
      <c r="AK24">
        <v>110.7</v>
      </c>
      <c r="AL24">
        <v>313.8</v>
      </c>
      <c r="AM24" t="str">
        <f t="shared" si="7"/>
        <v>C1P</v>
      </c>
      <c r="AN24" t="str">
        <f t="shared" si="7"/>
        <v>C1P</v>
      </c>
      <c r="AO24" t="str">
        <f t="shared" si="7"/>
        <v>HP</v>
      </c>
      <c r="BA24">
        <v>36</v>
      </c>
      <c r="BB24">
        <v>13</v>
      </c>
      <c r="BC24">
        <v>12</v>
      </c>
      <c r="BD24">
        <v>34</v>
      </c>
      <c r="BE24">
        <v>3</v>
      </c>
      <c r="BF24">
        <v>0.628</v>
      </c>
      <c r="BG24">
        <v>1.883</v>
      </c>
      <c r="BH24">
        <v>0</v>
      </c>
      <c r="BI24">
        <v>-2.5099999999999998</v>
      </c>
      <c r="BJ24">
        <v>0</v>
      </c>
      <c r="BK24">
        <v>0</v>
      </c>
      <c r="BL24" t="str">
        <f t="shared" si="8"/>
        <v>HP</v>
      </c>
      <c r="BM24" t="str">
        <f t="shared" si="8"/>
        <v>C1P</v>
      </c>
      <c r="BN24" t="str">
        <f t="shared" si="8"/>
        <v>C1P</v>
      </c>
      <c r="BO24" t="str">
        <f t="shared" si="8"/>
        <v>HP</v>
      </c>
    </row>
    <row r="25" spans="2:67" x14ac:dyDescent="0.25">
      <c r="B25">
        <v>23</v>
      </c>
      <c r="C25">
        <v>0.03</v>
      </c>
      <c r="D25">
        <v>2.5</v>
      </c>
      <c r="E25">
        <v>23</v>
      </c>
      <c r="F25">
        <v>1.008</v>
      </c>
      <c r="G25" t="s">
        <v>63</v>
      </c>
      <c r="Q25">
        <v>24</v>
      </c>
      <c r="R25">
        <v>4</v>
      </c>
      <c r="S25">
        <v>1</v>
      </c>
      <c r="T25">
        <v>0.109</v>
      </c>
      <c r="U25">
        <v>284512</v>
      </c>
      <c r="V25" t="str">
        <f t="shared" si="5"/>
        <v>HP</v>
      </c>
      <c r="W25" t="str">
        <f t="shared" si="6"/>
        <v>C1P</v>
      </c>
      <c r="AG25">
        <v>3</v>
      </c>
      <c r="AH25">
        <v>4</v>
      </c>
      <c r="AI25">
        <v>25</v>
      </c>
      <c r="AJ25">
        <v>1</v>
      </c>
      <c r="AK25">
        <v>110.7</v>
      </c>
      <c r="AL25">
        <v>313.8</v>
      </c>
      <c r="AM25" t="str">
        <f t="shared" si="7"/>
        <v>C1P</v>
      </c>
      <c r="AN25" t="str">
        <f t="shared" si="7"/>
        <v>C1P</v>
      </c>
      <c r="AO25" t="str">
        <f t="shared" si="7"/>
        <v>HP</v>
      </c>
      <c r="BA25">
        <v>29</v>
      </c>
      <c r="BB25">
        <v>7</v>
      </c>
      <c r="BC25">
        <v>6</v>
      </c>
      <c r="BD25">
        <v>26</v>
      </c>
      <c r="BE25">
        <v>3</v>
      </c>
      <c r="BF25">
        <v>0.628</v>
      </c>
      <c r="BG25">
        <v>1.883</v>
      </c>
      <c r="BH25">
        <v>0</v>
      </c>
      <c r="BI25">
        <v>-2.5099999999999998</v>
      </c>
      <c r="BJ25">
        <v>0</v>
      </c>
      <c r="BK25">
        <v>0</v>
      </c>
      <c r="BL25" t="str">
        <f t="shared" si="8"/>
        <v>HP</v>
      </c>
      <c r="BM25" t="str">
        <f t="shared" si="8"/>
        <v>C1P</v>
      </c>
      <c r="BN25" t="str">
        <f t="shared" si="8"/>
        <v>C1P</v>
      </c>
      <c r="BO25" t="str">
        <f t="shared" si="8"/>
        <v>HP</v>
      </c>
    </row>
    <row r="26" spans="2:67" x14ac:dyDescent="0.25">
      <c r="B26">
        <v>24</v>
      </c>
      <c r="C26">
        <v>0.03</v>
      </c>
      <c r="D26">
        <v>2.5</v>
      </c>
      <c r="E26">
        <v>24</v>
      </c>
      <c r="F26">
        <v>1.008</v>
      </c>
      <c r="G26" t="s">
        <v>63</v>
      </c>
      <c r="Q26">
        <v>25</v>
      </c>
      <c r="R26">
        <v>4</v>
      </c>
      <c r="S26">
        <v>1</v>
      </c>
      <c r="T26">
        <v>0.109</v>
      </c>
      <c r="U26">
        <v>284512</v>
      </c>
      <c r="V26" t="str">
        <f t="shared" si="5"/>
        <v>HP</v>
      </c>
      <c r="W26" t="str">
        <f t="shared" si="6"/>
        <v>C1P</v>
      </c>
      <c r="AG26">
        <v>5</v>
      </c>
      <c r="AH26">
        <v>6</v>
      </c>
      <c r="AI26">
        <v>26</v>
      </c>
      <c r="AJ26">
        <v>1</v>
      </c>
      <c r="AK26">
        <v>109.5</v>
      </c>
      <c r="AL26">
        <v>292.88</v>
      </c>
      <c r="AM26" t="str">
        <f t="shared" si="7"/>
        <v>O1P</v>
      </c>
      <c r="AN26" t="str">
        <f t="shared" si="7"/>
        <v>C1P</v>
      </c>
      <c r="AO26" t="str">
        <f t="shared" si="7"/>
        <v>HP</v>
      </c>
      <c r="BA26">
        <v>28</v>
      </c>
      <c r="BB26">
        <v>7</v>
      </c>
      <c r="BC26">
        <v>6</v>
      </c>
      <c r="BD26">
        <v>27</v>
      </c>
      <c r="BE26">
        <v>3</v>
      </c>
      <c r="BF26">
        <v>0.628</v>
      </c>
      <c r="BG26">
        <v>1.883</v>
      </c>
      <c r="BH26">
        <v>0</v>
      </c>
      <c r="BI26">
        <v>-2.5099999999999998</v>
      </c>
      <c r="BJ26">
        <v>0</v>
      </c>
      <c r="BK26">
        <v>0</v>
      </c>
      <c r="BL26" t="str">
        <f t="shared" si="8"/>
        <v>HP</v>
      </c>
      <c r="BM26" t="str">
        <f t="shared" si="8"/>
        <v>C1P</v>
      </c>
      <c r="BN26" t="str">
        <f t="shared" si="8"/>
        <v>C1P</v>
      </c>
      <c r="BO26" t="str">
        <f t="shared" si="8"/>
        <v>HP</v>
      </c>
    </row>
    <row r="27" spans="2:67" x14ac:dyDescent="0.25">
      <c r="B27">
        <v>25</v>
      </c>
      <c r="C27">
        <v>0.03</v>
      </c>
      <c r="D27">
        <v>2.5</v>
      </c>
      <c r="E27">
        <v>25</v>
      </c>
      <c r="F27">
        <v>1.008</v>
      </c>
      <c r="G27" t="s">
        <v>63</v>
      </c>
      <c r="Q27">
        <v>26</v>
      </c>
      <c r="R27">
        <v>6</v>
      </c>
      <c r="S27">
        <v>1</v>
      </c>
      <c r="T27">
        <v>0.109</v>
      </c>
      <c r="U27">
        <v>284512</v>
      </c>
      <c r="V27" t="str">
        <f t="shared" si="5"/>
        <v>HP</v>
      </c>
      <c r="W27" t="str">
        <f t="shared" si="6"/>
        <v>C1P</v>
      </c>
      <c r="AG27">
        <v>5</v>
      </c>
      <c r="AH27">
        <v>6</v>
      </c>
      <c r="AI27">
        <v>27</v>
      </c>
      <c r="AJ27">
        <v>1</v>
      </c>
      <c r="AK27">
        <v>109.5</v>
      </c>
      <c r="AL27">
        <v>292.88</v>
      </c>
      <c r="AM27" t="str">
        <f t="shared" si="7"/>
        <v>O1P</v>
      </c>
      <c r="AN27" t="str">
        <f t="shared" si="7"/>
        <v>C1P</v>
      </c>
      <c r="AO27" t="str">
        <f t="shared" si="7"/>
        <v>HP</v>
      </c>
      <c r="BA27">
        <v>36</v>
      </c>
      <c r="BB27">
        <v>13</v>
      </c>
      <c r="BC27">
        <v>12</v>
      </c>
      <c r="BD27">
        <v>35</v>
      </c>
      <c r="BE27">
        <v>3</v>
      </c>
      <c r="BF27">
        <v>0.628</v>
      </c>
      <c r="BG27">
        <v>1.883</v>
      </c>
      <c r="BH27">
        <v>0</v>
      </c>
      <c r="BI27">
        <v>-2.5099999999999998</v>
      </c>
      <c r="BJ27">
        <v>0</v>
      </c>
      <c r="BK27">
        <v>0</v>
      </c>
      <c r="BL27" t="str">
        <f t="shared" si="8"/>
        <v>HP</v>
      </c>
      <c r="BM27" t="str">
        <f t="shared" si="8"/>
        <v>C1P</v>
      </c>
      <c r="BN27" t="str">
        <f t="shared" si="8"/>
        <v>C1P</v>
      </c>
      <c r="BO27" t="str">
        <f t="shared" si="8"/>
        <v>HP</v>
      </c>
    </row>
    <row r="28" spans="2:67" x14ac:dyDescent="0.25">
      <c r="B28">
        <v>26</v>
      </c>
      <c r="C28">
        <v>0.03</v>
      </c>
      <c r="D28">
        <v>2.5</v>
      </c>
      <c r="E28">
        <v>26</v>
      </c>
      <c r="F28">
        <v>1.008</v>
      </c>
      <c r="G28" t="s">
        <v>63</v>
      </c>
      <c r="Q28">
        <v>27</v>
      </c>
      <c r="R28">
        <v>6</v>
      </c>
      <c r="S28">
        <v>1</v>
      </c>
      <c r="T28">
        <v>0.109</v>
      </c>
      <c r="U28">
        <v>284512</v>
      </c>
      <c r="V28" t="str">
        <f t="shared" si="5"/>
        <v>HP</v>
      </c>
      <c r="W28" t="str">
        <f t="shared" si="6"/>
        <v>C1P</v>
      </c>
      <c r="AG28">
        <v>6</v>
      </c>
      <c r="AH28">
        <v>7</v>
      </c>
      <c r="AI28">
        <v>28</v>
      </c>
      <c r="AJ28">
        <v>1</v>
      </c>
      <c r="AK28">
        <v>110.7</v>
      </c>
      <c r="AL28">
        <v>313.8</v>
      </c>
      <c r="AM28" t="str">
        <f t="shared" si="7"/>
        <v>C1P</v>
      </c>
      <c r="AN28" t="str">
        <f t="shared" si="7"/>
        <v>C1P</v>
      </c>
      <c r="AO28" t="str">
        <f t="shared" si="7"/>
        <v>HP</v>
      </c>
      <c r="BA28">
        <v>32</v>
      </c>
      <c r="BB28">
        <v>10</v>
      </c>
      <c r="BC28">
        <v>9</v>
      </c>
      <c r="BD28">
        <v>30</v>
      </c>
      <c r="BE28">
        <v>3</v>
      </c>
      <c r="BF28">
        <v>0.628</v>
      </c>
      <c r="BG28">
        <v>1.883</v>
      </c>
      <c r="BH28">
        <v>0</v>
      </c>
      <c r="BI28">
        <v>-2.5099999999999998</v>
      </c>
      <c r="BJ28">
        <v>0</v>
      </c>
      <c r="BK28">
        <v>0</v>
      </c>
      <c r="BL28" t="str">
        <f t="shared" si="8"/>
        <v>HP</v>
      </c>
      <c r="BM28" t="str">
        <f t="shared" si="8"/>
        <v>C1P</v>
      </c>
      <c r="BN28" t="str">
        <f t="shared" si="8"/>
        <v>C1P</v>
      </c>
      <c r="BO28" t="str">
        <f t="shared" si="8"/>
        <v>HP</v>
      </c>
    </row>
    <row r="29" spans="2:67" x14ac:dyDescent="0.25">
      <c r="B29">
        <v>27</v>
      </c>
      <c r="C29">
        <v>0.03</v>
      </c>
      <c r="D29">
        <v>2.5</v>
      </c>
      <c r="E29">
        <v>27</v>
      </c>
      <c r="F29">
        <v>1.008</v>
      </c>
      <c r="G29" t="s">
        <v>63</v>
      </c>
      <c r="Q29">
        <v>28</v>
      </c>
      <c r="R29">
        <v>7</v>
      </c>
      <c r="S29">
        <v>1</v>
      </c>
      <c r="T29">
        <v>0.109</v>
      </c>
      <c r="U29">
        <v>284512</v>
      </c>
      <c r="V29" t="str">
        <f t="shared" si="5"/>
        <v>HP</v>
      </c>
      <c r="W29" t="str">
        <f t="shared" si="6"/>
        <v>C1P</v>
      </c>
      <c r="AG29">
        <v>6</v>
      </c>
      <c r="AH29">
        <v>7</v>
      </c>
      <c r="AI29">
        <v>29</v>
      </c>
      <c r="AJ29">
        <v>1</v>
      </c>
      <c r="AK29">
        <v>110.7</v>
      </c>
      <c r="AL29">
        <v>313.8</v>
      </c>
      <c r="AM29" t="str">
        <f t="shared" si="7"/>
        <v>C1P</v>
      </c>
      <c r="AN29" t="str">
        <f t="shared" si="7"/>
        <v>C1P</v>
      </c>
      <c r="AO29" t="str">
        <f t="shared" si="7"/>
        <v>HP</v>
      </c>
      <c r="BA29">
        <v>29</v>
      </c>
      <c r="BB29">
        <v>7</v>
      </c>
      <c r="BC29">
        <v>6</v>
      </c>
      <c r="BD29">
        <v>27</v>
      </c>
      <c r="BE29">
        <v>3</v>
      </c>
      <c r="BF29">
        <v>0.628</v>
      </c>
      <c r="BG29">
        <v>1.883</v>
      </c>
      <c r="BH29">
        <v>0</v>
      </c>
      <c r="BI29">
        <v>-2.5099999999999998</v>
      </c>
      <c r="BJ29">
        <v>0</v>
      </c>
      <c r="BK29">
        <v>0</v>
      </c>
      <c r="BL29" t="str">
        <f t="shared" si="8"/>
        <v>HP</v>
      </c>
      <c r="BM29" t="str">
        <f t="shared" si="8"/>
        <v>C1P</v>
      </c>
      <c r="BN29" t="str">
        <f t="shared" si="8"/>
        <v>C1P</v>
      </c>
      <c r="BO29" t="str">
        <f t="shared" si="8"/>
        <v>HP</v>
      </c>
    </row>
    <row r="30" spans="2:67" x14ac:dyDescent="0.25">
      <c r="B30">
        <v>28</v>
      </c>
      <c r="C30">
        <v>0.03</v>
      </c>
      <c r="D30">
        <v>2.5</v>
      </c>
      <c r="E30">
        <v>28</v>
      </c>
      <c r="F30">
        <v>1.008</v>
      </c>
      <c r="G30" t="s">
        <v>63</v>
      </c>
      <c r="Q30">
        <v>29</v>
      </c>
      <c r="R30">
        <v>7</v>
      </c>
      <c r="S30">
        <v>1</v>
      </c>
      <c r="T30">
        <v>0.109</v>
      </c>
      <c r="U30">
        <v>284512</v>
      </c>
      <c r="V30" t="str">
        <f t="shared" si="5"/>
        <v>HP</v>
      </c>
      <c r="W30" t="str">
        <f t="shared" si="6"/>
        <v>C1P</v>
      </c>
      <c r="AG30">
        <v>8</v>
      </c>
      <c r="AH30">
        <v>9</v>
      </c>
      <c r="AI30">
        <v>30</v>
      </c>
      <c r="AJ30">
        <v>1</v>
      </c>
      <c r="AK30">
        <v>109.5</v>
      </c>
      <c r="AL30">
        <v>292.88</v>
      </c>
      <c r="AM30" t="str">
        <f t="shared" si="7"/>
        <v>O1P</v>
      </c>
      <c r="AN30" t="str">
        <f t="shared" si="7"/>
        <v>C1P</v>
      </c>
      <c r="AO30" t="str">
        <f t="shared" si="7"/>
        <v>HP</v>
      </c>
      <c r="BA30">
        <v>25</v>
      </c>
      <c r="BB30">
        <v>4</v>
      </c>
      <c r="BC30">
        <v>3</v>
      </c>
      <c r="BD30">
        <v>23</v>
      </c>
      <c r="BE30">
        <v>3</v>
      </c>
      <c r="BF30">
        <v>0.628</v>
      </c>
      <c r="BG30">
        <v>1.883</v>
      </c>
      <c r="BH30">
        <v>0</v>
      </c>
      <c r="BI30">
        <v>-2.5099999999999998</v>
      </c>
      <c r="BJ30">
        <v>0</v>
      </c>
      <c r="BK30">
        <v>0</v>
      </c>
      <c r="BL30" t="str">
        <f t="shared" si="8"/>
        <v>HP</v>
      </c>
      <c r="BM30" t="str">
        <f t="shared" si="8"/>
        <v>C1P</v>
      </c>
      <c r="BN30" t="str">
        <f t="shared" si="8"/>
        <v>C1P</v>
      </c>
      <c r="BO30" t="str">
        <f t="shared" si="8"/>
        <v>HP</v>
      </c>
    </row>
    <row r="31" spans="2:67" x14ac:dyDescent="0.25">
      <c r="B31">
        <v>29</v>
      </c>
      <c r="C31">
        <v>0.03</v>
      </c>
      <c r="D31">
        <v>2.5</v>
      </c>
      <c r="E31">
        <v>29</v>
      </c>
      <c r="F31">
        <v>1.008</v>
      </c>
      <c r="G31" t="s">
        <v>63</v>
      </c>
      <c r="Q31">
        <v>30</v>
      </c>
      <c r="R31">
        <v>9</v>
      </c>
      <c r="S31">
        <v>1</v>
      </c>
      <c r="T31">
        <v>0.109</v>
      </c>
      <c r="U31">
        <v>284512</v>
      </c>
      <c r="V31" t="str">
        <f t="shared" si="5"/>
        <v>HP</v>
      </c>
      <c r="W31" t="str">
        <f t="shared" si="6"/>
        <v>C1P</v>
      </c>
      <c r="AG31">
        <v>8</v>
      </c>
      <c r="AH31">
        <v>9</v>
      </c>
      <c r="AI31">
        <v>31</v>
      </c>
      <c r="AJ31">
        <v>1</v>
      </c>
      <c r="AK31">
        <v>109.5</v>
      </c>
      <c r="AL31">
        <v>292.88</v>
      </c>
      <c r="AM31" t="str">
        <f t="shared" si="7"/>
        <v>O1P</v>
      </c>
      <c r="AN31" t="str">
        <f t="shared" si="7"/>
        <v>C1P</v>
      </c>
      <c r="AO31" t="str">
        <f t="shared" si="7"/>
        <v>HP</v>
      </c>
      <c r="BA31">
        <v>40</v>
      </c>
      <c r="BB31">
        <v>16</v>
      </c>
      <c r="BC31">
        <v>15</v>
      </c>
      <c r="BD31">
        <v>38</v>
      </c>
      <c r="BE31">
        <v>3</v>
      </c>
      <c r="BF31">
        <v>0.628</v>
      </c>
      <c r="BG31">
        <v>1.883</v>
      </c>
      <c r="BH31">
        <v>0</v>
      </c>
      <c r="BI31">
        <v>-2.5099999999999998</v>
      </c>
      <c r="BJ31">
        <v>0</v>
      </c>
      <c r="BK31">
        <v>0</v>
      </c>
      <c r="BL31" t="str">
        <f t="shared" si="8"/>
        <v>HP</v>
      </c>
      <c r="BM31" t="str">
        <f t="shared" si="8"/>
        <v>C1P</v>
      </c>
      <c r="BN31" t="str">
        <f t="shared" si="8"/>
        <v>C1P</v>
      </c>
      <c r="BO31" t="str">
        <f t="shared" si="8"/>
        <v>HP</v>
      </c>
    </row>
    <row r="32" spans="2:67" x14ac:dyDescent="0.25">
      <c r="B32">
        <v>30</v>
      </c>
      <c r="C32">
        <v>0.03</v>
      </c>
      <c r="D32">
        <v>2.5</v>
      </c>
      <c r="E32">
        <v>30</v>
      </c>
      <c r="F32">
        <v>1.008</v>
      </c>
      <c r="G32" t="s">
        <v>63</v>
      </c>
      <c r="Q32">
        <v>31</v>
      </c>
      <c r="R32">
        <v>9</v>
      </c>
      <c r="S32">
        <v>1</v>
      </c>
      <c r="T32">
        <v>0.109</v>
      </c>
      <c r="U32">
        <v>284512</v>
      </c>
      <c r="V32" t="str">
        <f t="shared" si="5"/>
        <v>HP</v>
      </c>
      <c r="W32" t="str">
        <f t="shared" si="6"/>
        <v>C1P</v>
      </c>
      <c r="AG32">
        <v>9</v>
      </c>
      <c r="AH32">
        <v>10</v>
      </c>
      <c r="AI32">
        <v>32</v>
      </c>
      <c r="AJ32">
        <v>1</v>
      </c>
      <c r="AK32">
        <v>110.7</v>
      </c>
      <c r="AL32">
        <v>313.8</v>
      </c>
      <c r="AM32" t="str">
        <f t="shared" si="7"/>
        <v>C1P</v>
      </c>
      <c r="AN32" t="str">
        <f t="shared" si="7"/>
        <v>C1P</v>
      </c>
      <c r="AO32" t="str">
        <f t="shared" si="7"/>
        <v>HP</v>
      </c>
      <c r="BA32">
        <v>24</v>
      </c>
      <c r="BB32">
        <v>4</v>
      </c>
      <c r="BC32">
        <v>3</v>
      </c>
      <c r="BD32">
        <v>22</v>
      </c>
      <c r="BE32">
        <v>3</v>
      </c>
      <c r="BF32">
        <v>0.628</v>
      </c>
      <c r="BG32">
        <v>1.883</v>
      </c>
      <c r="BH32">
        <v>0</v>
      </c>
      <c r="BI32">
        <v>-2.5099999999999998</v>
      </c>
      <c r="BJ32">
        <v>0</v>
      </c>
      <c r="BK32">
        <v>0</v>
      </c>
      <c r="BL32" t="str">
        <f t="shared" si="8"/>
        <v>HP</v>
      </c>
      <c r="BM32" t="str">
        <f t="shared" si="8"/>
        <v>C1P</v>
      </c>
      <c r="BN32" t="str">
        <f t="shared" si="8"/>
        <v>C1P</v>
      </c>
      <c r="BO32" t="str">
        <f t="shared" si="8"/>
        <v>HP</v>
      </c>
    </row>
    <row r="33" spans="2:67" x14ac:dyDescent="0.25">
      <c r="B33">
        <v>31</v>
      </c>
      <c r="C33">
        <v>0.03</v>
      </c>
      <c r="D33">
        <v>2.5</v>
      </c>
      <c r="E33">
        <v>31</v>
      </c>
      <c r="F33">
        <v>1.008</v>
      </c>
      <c r="G33" t="s">
        <v>63</v>
      </c>
      <c r="Q33">
        <v>32</v>
      </c>
      <c r="R33">
        <v>10</v>
      </c>
      <c r="S33">
        <v>1</v>
      </c>
      <c r="T33">
        <v>0.109</v>
      </c>
      <c r="U33">
        <v>284512</v>
      </c>
      <c r="V33" t="str">
        <f t="shared" si="5"/>
        <v>HP</v>
      </c>
      <c r="W33" t="str">
        <f t="shared" si="6"/>
        <v>C1P</v>
      </c>
      <c r="AG33">
        <v>9</v>
      </c>
      <c r="AH33">
        <v>10</v>
      </c>
      <c r="AI33">
        <v>33</v>
      </c>
      <c r="AJ33">
        <v>1</v>
      </c>
      <c r="AK33">
        <v>110.7</v>
      </c>
      <c r="AL33">
        <v>313.8</v>
      </c>
      <c r="AM33" t="str">
        <f t="shared" si="7"/>
        <v>C1P</v>
      </c>
      <c r="AN33" t="str">
        <f t="shared" si="7"/>
        <v>C1P</v>
      </c>
      <c r="AO33" t="str">
        <f t="shared" si="7"/>
        <v>HP</v>
      </c>
      <c r="BA33">
        <v>30</v>
      </c>
      <c r="BB33">
        <v>9</v>
      </c>
      <c r="BC33">
        <v>10</v>
      </c>
      <c r="BD33">
        <v>11</v>
      </c>
      <c r="BE33">
        <v>3</v>
      </c>
      <c r="BF33">
        <v>0.97899999999999998</v>
      </c>
      <c r="BG33">
        <v>2.9369999999999998</v>
      </c>
      <c r="BH33">
        <v>0</v>
      </c>
      <c r="BI33">
        <v>-3.9159999999999999</v>
      </c>
      <c r="BJ33">
        <v>0</v>
      </c>
      <c r="BK33">
        <v>0</v>
      </c>
      <c r="BL33" t="str">
        <f t="shared" si="8"/>
        <v>HP</v>
      </c>
      <c r="BM33" t="str">
        <f t="shared" si="8"/>
        <v>C1P</v>
      </c>
      <c r="BN33" t="str">
        <f t="shared" si="8"/>
        <v>C1P</v>
      </c>
      <c r="BO33" t="str">
        <f t="shared" si="8"/>
        <v>O1P</v>
      </c>
    </row>
    <row r="34" spans="2:67" x14ac:dyDescent="0.25">
      <c r="B34">
        <v>32</v>
      </c>
      <c r="C34">
        <v>0.03</v>
      </c>
      <c r="D34">
        <v>2.5</v>
      </c>
      <c r="E34">
        <v>32</v>
      </c>
      <c r="F34">
        <v>1.008</v>
      </c>
      <c r="G34" t="s">
        <v>63</v>
      </c>
      <c r="Q34">
        <v>33</v>
      </c>
      <c r="R34">
        <v>10</v>
      </c>
      <c r="S34">
        <v>1</v>
      </c>
      <c r="T34">
        <v>0.109</v>
      </c>
      <c r="U34">
        <v>284512</v>
      </c>
      <c r="V34" t="str">
        <f t="shared" si="5"/>
        <v>HP</v>
      </c>
      <c r="W34" t="str">
        <f t="shared" si="6"/>
        <v>C1P</v>
      </c>
      <c r="AG34">
        <v>11</v>
      </c>
      <c r="AH34">
        <v>12</v>
      </c>
      <c r="AI34">
        <v>34</v>
      </c>
      <c r="AJ34">
        <v>1</v>
      </c>
      <c r="AK34">
        <v>109.5</v>
      </c>
      <c r="AL34">
        <v>292.88</v>
      </c>
      <c r="AM34" t="str">
        <f t="shared" si="7"/>
        <v>O1P</v>
      </c>
      <c r="AN34" t="str">
        <f t="shared" si="7"/>
        <v>C1P</v>
      </c>
      <c r="AO34" t="str">
        <f t="shared" si="7"/>
        <v>HP</v>
      </c>
      <c r="BA34">
        <v>37</v>
      </c>
      <c r="BB34">
        <v>13</v>
      </c>
      <c r="BC34">
        <v>12</v>
      </c>
      <c r="BD34">
        <v>11</v>
      </c>
      <c r="BE34">
        <v>3</v>
      </c>
      <c r="BF34">
        <v>0.97899999999999998</v>
      </c>
      <c r="BG34">
        <v>2.9369999999999998</v>
      </c>
      <c r="BH34">
        <v>0</v>
      </c>
      <c r="BI34">
        <v>-3.9159999999999999</v>
      </c>
      <c r="BJ34">
        <v>0</v>
      </c>
      <c r="BK34">
        <v>0</v>
      </c>
      <c r="BL34" t="str">
        <f t="shared" si="8"/>
        <v>HP</v>
      </c>
      <c r="BM34" t="str">
        <f t="shared" si="8"/>
        <v>C1P</v>
      </c>
      <c r="BN34" t="str">
        <f t="shared" si="8"/>
        <v>C1P</v>
      </c>
      <c r="BO34" t="str">
        <f t="shared" si="8"/>
        <v>O1P</v>
      </c>
    </row>
    <row r="35" spans="2:67" x14ac:dyDescent="0.25">
      <c r="B35">
        <v>33</v>
      </c>
      <c r="C35">
        <v>0.03</v>
      </c>
      <c r="D35">
        <v>2.5</v>
      </c>
      <c r="E35">
        <v>33</v>
      </c>
      <c r="F35">
        <v>1.008</v>
      </c>
      <c r="G35" t="s">
        <v>63</v>
      </c>
      <c r="Q35">
        <v>34</v>
      </c>
      <c r="R35">
        <v>12</v>
      </c>
      <c r="S35">
        <v>1</v>
      </c>
      <c r="T35">
        <v>0.109</v>
      </c>
      <c r="U35">
        <v>284512</v>
      </c>
      <c r="V35" t="str">
        <f t="shared" si="5"/>
        <v>HP</v>
      </c>
      <c r="W35" t="str">
        <f t="shared" si="6"/>
        <v>C1P</v>
      </c>
      <c r="AG35">
        <v>11</v>
      </c>
      <c r="AH35">
        <v>12</v>
      </c>
      <c r="AI35">
        <v>35</v>
      </c>
      <c r="AJ35">
        <v>1</v>
      </c>
      <c r="AK35">
        <v>109.5</v>
      </c>
      <c r="AL35">
        <v>292.88</v>
      </c>
      <c r="AM35" t="str">
        <f t="shared" si="7"/>
        <v>O1P</v>
      </c>
      <c r="AN35" t="str">
        <f t="shared" si="7"/>
        <v>C1P</v>
      </c>
      <c r="AO35" t="str">
        <f t="shared" si="7"/>
        <v>HP</v>
      </c>
      <c r="BA35">
        <v>32</v>
      </c>
      <c r="BB35">
        <v>10</v>
      </c>
      <c r="BC35">
        <v>9</v>
      </c>
      <c r="BD35">
        <v>8</v>
      </c>
      <c r="BE35">
        <v>3</v>
      </c>
      <c r="BF35">
        <v>0.97899999999999998</v>
      </c>
      <c r="BG35">
        <v>2.9369999999999998</v>
      </c>
      <c r="BH35">
        <v>0</v>
      </c>
      <c r="BI35">
        <v>-3.9159999999999999</v>
      </c>
      <c r="BJ35">
        <v>0</v>
      </c>
      <c r="BK35">
        <v>0</v>
      </c>
      <c r="BL35" t="str">
        <f t="shared" si="8"/>
        <v>HP</v>
      </c>
      <c r="BM35" t="str">
        <f t="shared" si="8"/>
        <v>C1P</v>
      </c>
      <c r="BN35" t="str">
        <f t="shared" si="8"/>
        <v>C1P</v>
      </c>
      <c r="BO35" t="str">
        <f t="shared" si="8"/>
        <v>O1P</v>
      </c>
    </row>
    <row r="36" spans="2:67" x14ac:dyDescent="0.25">
      <c r="B36">
        <v>34</v>
      </c>
      <c r="C36">
        <v>0.03</v>
      </c>
      <c r="D36">
        <v>2.5</v>
      </c>
      <c r="E36">
        <v>34</v>
      </c>
      <c r="F36">
        <v>1.008</v>
      </c>
      <c r="G36" t="s">
        <v>63</v>
      </c>
      <c r="Q36">
        <v>35</v>
      </c>
      <c r="R36">
        <v>12</v>
      </c>
      <c r="S36">
        <v>1</v>
      </c>
      <c r="T36">
        <v>0.109</v>
      </c>
      <c r="U36">
        <v>284512</v>
      </c>
      <c r="V36" t="str">
        <f t="shared" si="5"/>
        <v>HP</v>
      </c>
      <c r="W36" t="str">
        <f t="shared" si="6"/>
        <v>C1P</v>
      </c>
      <c r="AG36">
        <v>12</v>
      </c>
      <c r="AH36">
        <v>13</v>
      </c>
      <c r="AI36">
        <v>36</v>
      </c>
      <c r="AJ36">
        <v>1</v>
      </c>
      <c r="AK36">
        <v>110.7</v>
      </c>
      <c r="AL36">
        <v>313.8</v>
      </c>
      <c r="AM36" t="str">
        <f t="shared" si="7"/>
        <v>C1P</v>
      </c>
      <c r="AN36" t="str">
        <f t="shared" si="7"/>
        <v>C1P</v>
      </c>
      <c r="AO36" t="str">
        <f t="shared" si="7"/>
        <v>HP</v>
      </c>
      <c r="BA36">
        <v>23</v>
      </c>
      <c r="BB36">
        <v>3</v>
      </c>
      <c r="BC36">
        <v>4</v>
      </c>
      <c r="BD36">
        <v>5</v>
      </c>
      <c r="BE36">
        <v>3</v>
      </c>
      <c r="BF36">
        <v>0.97899999999999998</v>
      </c>
      <c r="BG36">
        <v>2.9369999999999998</v>
      </c>
      <c r="BH36">
        <v>0</v>
      </c>
      <c r="BI36">
        <v>-3.9159999999999999</v>
      </c>
      <c r="BJ36">
        <v>0</v>
      </c>
      <c r="BK36">
        <v>0</v>
      </c>
      <c r="BL36" t="str">
        <f t="shared" si="8"/>
        <v>HP</v>
      </c>
      <c r="BM36" t="str">
        <f t="shared" si="8"/>
        <v>C1P</v>
      </c>
      <c r="BN36" t="str">
        <f t="shared" si="8"/>
        <v>C1P</v>
      </c>
      <c r="BO36" t="str">
        <f t="shared" si="8"/>
        <v>O1P</v>
      </c>
    </row>
    <row r="37" spans="2:67" x14ac:dyDescent="0.25">
      <c r="B37">
        <v>35</v>
      </c>
      <c r="C37">
        <v>0.03</v>
      </c>
      <c r="D37">
        <v>2.5</v>
      </c>
      <c r="E37">
        <v>35</v>
      </c>
      <c r="F37">
        <v>1.008</v>
      </c>
      <c r="G37" t="s">
        <v>63</v>
      </c>
      <c r="Q37">
        <v>36</v>
      </c>
      <c r="R37">
        <v>13</v>
      </c>
      <c r="S37">
        <v>1</v>
      </c>
      <c r="T37">
        <v>0.109</v>
      </c>
      <c r="U37">
        <v>284512</v>
      </c>
      <c r="V37" t="str">
        <f t="shared" si="5"/>
        <v>HP</v>
      </c>
      <c r="W37" t="str">
        <f t="shared" si="6"/>
        <v>C1P</v>
      </c>
      <c r="AG37">
        <v>12</v>
      </c>
      <c r="AH37">
        <v>13</v>
      </c>
      <c r="AI37">
        <v>37</v>
      </c>
      <c r="AJ37">
        <v>1</v>
      </c>
      <c r="AK37">
        <v>110.7</v>
      </c>
      <c r="AL37">
        <v>313.8</v>
      </c>
      <c r="AM37" t="str">
        <f t="shared" si="7"/>
        <v>C1P</v>
      </c>
      <c r="AN37" t="str">
        <f t="shared" si="7"/>
        <v>C1P</v>
      </c>
      <c r="AO37" t="str">
        <f t="shared" si="7"/>
        <v>HP</v>
      </c>
      <c r="BA37">
        <v>26</v>
      </c>
      <c r="BB37">
        <v>6</v>
      </c>
      <c r="BC37">
        <v>7</v>
      </c>
      <c r="BD37">
        <v>8</v>
      </c>
      <c r="BE37">
        <v>3</v>
      </c>
      <c r="BF37">
        <v>0.97899999999999998</v>
      </c>
      <c r="BG37">
        <v>2.9369999999999998</v>
      </c>
      <c r="BH37">
        <v>0</v>
      </c>
      <c r="BI37">
        <v>-3.9159999999999999</v>
      </c>
      <c r="BJ37">
        <v>0</v>
      </c>
      <c r="BK37">
        <v>0</v>
      </c>
      <c r="BL37" t="str">
        <f t="shared" si="8"/>
        <v>HP</v>
      </c>
      <c r="BM37" t="str">
        <f t="shared" si="8"/>
        <v>C1P</v>
      </c>
      <c r="BN37" t="str">
        <f t="shared" si="8"/>
        <v>C1P</v>
      </c>
      <c r="BO37" t="str">
        <f t="shared" si="8"/>
        <v>O1P</v>
      </c>
    </row>
    <row r="38" spans="2:67" x14ac:dyDescent="0.25">
      <c r="B38">
        <v>36</v>
      </c>
      <c r="C38">
        <v>0.03</v>
      </c>
      <c r="D38">
        <v>2.5</v>
      </c>
      <c r="E38">
        <v>36</v>
      </c>
      <c r="F38">
        <v>1.008</v>
      </c>
      <c r="G38" t="s">
        <v>63</v>
      </c>
      <c r="Q38">
        <v>37</v>
      </c>
      <c r="R38">
        <v>13</v>
      </c>
      <c r="S38">
        <v>1</v>
      </c>
      <c r="T38">
        <v>0.109</v>
      </c>
      <c r="U38">
        <v>284512</v>
      </c>
      <c r="V38" t="str">
        <f t="shared" si="5"/>
        <v>HP</v>
      </c>
      <c r="W38" t="str">
        <f t="shared" si="6"/>
        <v>C1P</v>
      </c>
      <c r="AG38">
        <v>14</v>
      </c>
      <c r="AH38">
        <v>15</v>
      </c>
      <c r="AI38">
        <v>38</v>
      </c>
      <c r="AJ38">
        <v>1</v>
      </c>
      <c r="AK38">
        <v>109.5</v>
      </c>
      <c r="AL38">
        <v>292.88</v>
      </c>
      <c r="AM38" t="str">
        <f t="shared" si="7"/>
        <v>O1P</v>
      </c>
      <c r="AN38" t="str">
        <f t="shared" si="7"/>
        <v>C1P</v>
      </c>
      <c r="AO38" t="str">
        <f t="shared" si="7"/>
        <v>HP</v>
      </c>
      <c r="BA38">
        <v>33</v>
      </c>
      <c r="BB38">
        <v>10</v>
      </c>
      <c r="BC38">
        <v>9</v>
      </c>
      <c r="BD38">
        <v>8</v>
      </c>
      <c r="BE38">
        <v>3</v>
      </c>
      <c r="BF38">
        <v>0.97899999999999998</v>
      </c>
      <c r="BG38">
        <v>2.9369999999999998</v>
      </c>
      <c r="BH38">
        <v>0</v>
      </c>
      <c r="BI38">
        <v>-3.9159999999999999</v>
      </c>
      <c r="BJ38">
        <v>0</v>
      </c>
      <c r="BK38">
        <v>0</v>
      </c>
      <c r="BL38" t="str">
        <f t="shared" si="8"/>
        <v>HP</v>
      </c>
      <c r="BM38" t="str">
        <f t="shared" si="8"/>
        <v>C1P</v>
      </c>
      <c r="BN38" t="str">
        <f t="shared" si="8"/>
        <v>C1P</v>
      </c>
      <c r="BO38" t="str">
        <f t="shared" si="8"/>
        <v>O1P</v>
      </c>
    </row>
    <row r="39" spans="2:67" x14ac:dyDescent="0.25">
      <c r="B39">
        <v>37</v>
      </c>
      <c r="C39">
        <v>0.03</v>
      </c>
      <c r="D39">
        <v>2.5</v>
      </c>
      <c r="E39">
        <v>37</v>
      </c>
      <c r="F39">
        <v>1.008</v>
      </c>
      <c r="G39" t="s">
        <v>63</v>
      </c>
      <c r="Q39">
        <v>38</v>
      </c>
      <c r="R39">
        <v>15</v>
      </c>
      <c r="S39">
        <v>1</v>
      </c>
      <c r="T39">
        <v>0.109</v>
      </c>
      <c r="U39">
        <v>284512</v>
      </c>
      <c r="V39" t="str">
        <f t="shared" si="5"/>
        <v>HP</v>
      </c>
      <c r="W39" t="str">
        <f t="shared" si="6"/>
        <v>C1P</v>
      </c>
      <c r="AG39">
        <v>14</v>
      </c>
      <c r="AH39">
        <v>15</v>
      </c>
      <c r="AI39">
        <v>39</v>
      </c>
      <c r="AJ39">
        <v>1</v>
      </c>
      <c r="AK39">
        <v>109.5</v>
      </c>
      <c r="AL39">
        <v>292.88</v>
      </c>
      <c r="AM39" t="str">
        <f t="shared" si="7"/>
        <v>O1P</v>
      </c>
      <c r="AN39" t="str">
        <f t="shared" si="7"/>
        <v>C1P</v>
      </c>
      <c r="AO39" t="str">
        <f t="shared" si="7"/>
        <v>HP</v>
      </c>
      <c r="BA39">
        <v>27</v>
      </c>
      <c r="BB39">
        <v>6</v>
      </c>
      <c r="BC39">
        <v>7</v>
      </c>
      <c r="BD39">
        <v>8</v>
      </c>
      <c r="BE39">
        <v>3</v>
      </c>
      <c r="BF39">
        <v>0.97899999999999998</v>
      </c>
      <c r="BG39">
        <v>2.9369999999999998</v>
      </c>
      <c r="BH39">
        <v>0</v>
      </c>
      <c r="BI39">
        <v>-3.9159999999999999</v>
      </c>
      <c r="BJ39">
        <v>0</v>
      </c>
      <c r="BK39">
        <v>0</v>
      </c>
      <c r="BL39" t="str">
        <f t="shared" si="8"/>
        <v>HP</v>
      </c>
      <c r="BM39" t="str">
        <f t="shared" si="8"/>
        <v>C1P</v>
      </c>
      <c r="BN39" t="str">
        <f t="shared" si="8"/>
        <v>C1P</v>
      </c>
      <c r="BO39" t="str">
        <f t="shared" si="8"/>
        <v>O1P</v>
      </c>
    </row>
    <row r="40" spans="2:67" x14ac:dyDescent="0.25">
      <c r="B40">
        <v>38</v>
      </c>
      <c r="C40">
        <v>0.03</v>
      </c>
      <c r="D40">
        <v>2.5</v>
      </c>
      <c r="E40">
        <v>38</v>
      </c>
      <c r="F40">
        <v>1.008</v>
      </c>
      <c r="G40" t="s">
        <v>63</v>
      </c>
      <c r="Q40">
        <v>39</v>
      </c>
      <c r="R40">
        <v>15</v>
      </c>
      <c r="S40">
        <v>1</v>
      </c>
      <c r="T40">
        <v>0.109</v>
      </c>
      <c r="U40">
        <v>284512</v>
      </c>
      <c r="V40" t="str">
        <f t="shared" si="5"/>
        <v>HP</v>
      </c>
      <c r="W40" t="str">
        <f t="shared" si="6"/>
        <v>C1P</v>
      </c>
      <c r="AG40">
        <v>15</v>
      </c>
      <c r="AH40">
        <v>16</v>
      </c>
      <c r="AI40">
        <v>40</v>
      </c>
      <c r="AJ40">
        <v>1</v>
      </c>
      <c r="AK40">
        <v>110.7</v>
      </c>
      <c r="AL40">
        <v>313.8</v>
      </c>
      <c r="AM40" t="str">
        <f t="shared" si="7"/>
        <v>C1P</v>
      </c>
      <c r="AN40" t="str">
        <f t="shared" si="7"/>
        <v>C1P</v>
      </c>
      <c r="AO40" t="str">
        <f t="shared" si="7"/>
        <v>HP</v>
      </c>
      <c r="BA40">
        <v>31</v>
      </c>
      <c r="BB40">
        <v>9</v>
      </c>
      <c r="BC40">
        <v>10</v>
      </c>
      <c r="BD40">
        <v>11</v>
      </c>
      <c r="BE40">
        <v>3</v>
      </c>
      <c r="BF40">
        <v>0.97899999999999998</v>
      </c>
      <c r="BG40">
        <v>2.9369999999999998</v>
      </c>
      <c r="BH40">
        <v>0</v>
      </c>
      <c r="BI40">
        <v>-3.9159999999999999</v>
      </c>
      <c r="BJ40">
        <v>0</v>
      </c>
      <c r="BK40">
        <v>0</v>
      </c>
      <c r="BL40" t="str">
        <f t="shared" si="8"/>
        <v>HP</v>
      </c>
      <c r="BM40" t="str">
        <f t="shared" si="8"/>
        <v>C1P</v>
      </c>
      <c r="BN40" t="str">
        <f t="shared" si="8"/>
        <v>C1P</v>
      </c>
      <c r="BO40" t="str">
        <f t="shared" si="8"/>
        <v>O1P</v>
      </c>
    </row>
    <row r="41" spans="2:67" x14ac:dyDescent="0.25">
      <c r="B41">
        <v>39</v>
      </c>
      <c r="C41">
        <v>0.03</v>
      </c>
      <c r="D41">
        <v>2.5</v>
      </c>
      <c r="E41">
        <v>39</v>
      </c>
      <c r="F41">
        <v>1.008</v>
      </c>
      <c r="G41" t="s">
        <v>63</v>
      </c>
      <c r="Q41">
        <v>40</v>
      </c>
      <c r="R41">
        <v>16</v>
      </c>
      <c r="S41">
        <v>1</v>
      </c>
      <c r="T41">
        <v>0.109</v>
      </c>
      <c r="U41">
        <v>284512</v>
      </c>
      <c r="V41" t="str">
        <f t="shared" si="5"/>
        <v>HP</v>
      </c>
      <c r="W41" t="str">
        <f t="shared" si="6"/>
        <v>C1P</v>
      </c>
      <c r="AG41">
        <v>15</v>
      </c>
      <c r="AH41">
        <v>16</v>
      </c>
      <c r="AI41">
        <v>41</v>
      </c>
      <c r="AJ41">
        <v>1</v>
      </c>
      <c r="AK41">
        <v>110.7</v>
      </c>
      <c r="AL41">
        <v>313.8</v>
      </c>
      <c r="AM41" t="str">
        <f t="shared" si="7"/>
        <v>C1P</v>
      </c>
      <c r="AN41" t="str">
        <f t="shared" si="7"/>
        <v>C1P</v>
      </c>
      <c r="AO41" t="str">
        <f t="shared" si="7"/>
        <v>HP</v>
      </c>
      <c r="BA41">
        <v>35</v>
      </c>
      <c r="BB41">
        <v>12</v>
      </c>
      <c r="BC41">
        <v>13</v>
      </c>
      <c r="BD41">
        <v>14</v>
      </c>
      <c r="BE41">
        <v>3</v>
      </c>
      <c r="BF41">
        <v>0.97899999999999998</v>
      </c>
      <c r="BG41">
        <v>2.9369999999999998</v>
      </c>
      <c r="BH41">
        <v>0</v>
      </c>
      <c r="BI41">
        <v>-3.9159999999999999</v>
      </c>
      <c r="BJ41">
        <v>0</v>
      </c>
      <c r="BK41">
        <v>0</v>
      </c>
      <c r="BL41" t="str">
        <f t="shared" si="8"/>
        <v>HP</v>
      </c>
      <c r="BM41" t="str">
        <f t="shared" si="8"/>
        <v>C1P</v>
      </c>
      <c r="BN41" t="str">
        <f t="shared" si="8"/>
        <v>C1P</v>
      </c>
      <c r="BO41" t="str">
        <f t="shared" si="8"/>
        <v>O1P</v>
      </c>
    </row>
    <row r="42" spans="2:67" x14ac:dyDescent="0.25">
      <c r="B42">
        <v>40</v>
      </c>
      <c r="C42">
        <v>0.03</v>
      </c>
      <c r="D42">
        <v>2.5</v>
      </c>
      <c r="E42">
        <v>40</v>
      </c>
      <c r="F42">
        <v>1.008</v>
      </c>
      <c r="G42" t="s">
        <v>63</v>
      </c>
      <c r="Q42">
        <v>41</v>
      </c>
      <c r="R42">
        <v>16</v>
      </c>
      <c r="S42">
        <v>1</v>
      </c>
      <c r="T42">
        <v>0.109</v>
      </c>
      <c r="U42">
        <v>284512</v>
      </c>
      <c r="V42" t="str">
        <f t="shared" si="5"/>
        <v>HP</v>
      </c>
      <c r="W42" t="str">
        <f t="shared" si="6"/>
        <v>C1P</v>
      </c>
      <c r="AG42">
        <v>17</v>
      </c>
      <c r="AH42">
        <v>18</v>
      </c>
      <c r="AI42">
        <v>42</v>
      </c>
      <c r="AJ42">
        <v>1</v>
      </c>
      <c r="AK42">
        <v>109.5</v>
      </c>
      <c r="AL42">
        <v>292.88</v>
      </c>
      <c r="AM42" t="str">
        <f t="shared" si="7"/>
        <v>O1P</v>
      </c>
      <c r="AN42" t="str">
        <f t="shared" si="7"/>
        <v>C1P</v>
      </c>
      <c r="AO42" t="str">
        <f t="shared" si="7"/>
        <v>HP</v>
      </c>
      <c r="BA42">
        <v>22</v>
      </c>
      <c r="BB42">
        <v>3</v>
      </c>
      <c r="BC42">
        <v>4</v>
      </c>
      <c r="BD42">
        <v>5</v>
      </c>
      <c r="BE42">
        <v>3</v>
      </c>
      <c r="BF42">
        <v>0.97899999999999998</v>
      </c>
      <c r="BG42">
        <v>2.9369999999999998</v>
      </c>
      <c r="BH42">
        <v>0</v>
      </c>
      <c r="BI42">
        <v>-3.9159999999999999</v>
      </c>
      <c r="BJ42">
        <v>0</v>
      </c>
      <c r="BK42">
        <v>0</v>
      </c>
      <c r="BL42" t="str">
        <f t="shared" si="8"/>
        <v>HP</v>
      </c>
      <c r="BM42" t="str">
        <f t="shared" si="8"/>
        <v>C1P</v>
      </c>
      <c r="BN42" t="str">
        <f t="shared" si="8"/>
        <v>C1P</v>
      </c>
      <c r="BO42" t="str">
        <f t="shared" si="8"/>
        <v>O1P</v>
      </c>
    </row>
    <row r="43" spans="2:67" x14ac:dyDescent="0.25">
      <c r="B43">
        <v>41</v>
      </c>
      <c r="C43">
        <v>0.03</v>
      </c>
      <c r="D43">
        <v>2.5</v>
      </c>
      <c r="E43">
        <v>41</v>
      </c>
      <c r="F43">
        <v>1.008</v>
      </c>
      <c r="G43" t="s">
        <v>63</v>
      </c>
      <c r="Q43">
        <v>42</v>
      </c>
      <c r="R43">
        <v>18</v>
      </c>
      <c r="S43">
        <v>1</v>
      </c>
      <c r="T43">
        <v>0.109</v>
      </c>
      <c r="U43">
        <v>284512</v>
      </c>
      <c r="V43" t="str">
        <f t="shared" si="5"/>
        <v>HP</v>
      </c>
      <c r="W43" t="str">
        <f t="shared" si="6"/>
        <v>C1P</v>
      </c>
      <c r="AG43">
        <v>17</v>
      </c>
      <c r="AH43">
        <v>18</v>
      </c>
      <c r="AI43">
        <v>43</v>
      </c>
      <c r="AJ43">
        <v>1</v>
      </c>
      <c r="AK43">
        <v>109.5</v>
      </c>
      <c r="AL43">
        <v>292.88</v>
      </c>
      <c r="AM43" t="str">
        <f t="shared" si="7"/>
        <v>O1P</v>
      </c>
      <c r="AN43" t="str">
        <f t="shared" si="7"/>
        <v>C1P</v>
      </c>
      <c r="AO43" t="str">
        <f t="shared" si="7"/>
        <v>HP</v>
      </c>
      <c r="BA43">
        <v>25</v>
      </c>
      <c r="BB43">
        <v>4</v>
      </c>
      <c r="BC43">
        <v>3</v>
      </c>
      <c r="BD43">
        <v>2</v>
      </c>
      <c r="BE43">
        <v>3</v>
      </c>
      <c r="BF43">
        <v>0.97899999999999998</v>
      </c>
      <c r="BG43">
        <v>2.9369999999999998</v>
      </c>
      <c r="BH43">
        <v>0</v>
      </c>
      <c r="BI43">
        <v>-3.9159999999999999</v>
      </c>
      <c r="BJ43">
        <v>0</v>
      </c>
      <c r="BK43">
        <v>0</v>
      </c>
      <c r="BL43" t="str">
        <f t="shared" si="8"/>
        <v>HP</v>
      </c>
      <c r="BM43" t="str">
        <f t="shared" si="8"/>
        <v>C1P</v>
      </c>
      <c r="BN43" t="str">
        <f t="shared" si="8"/>
        <v>C1P</v>
      </c>
      <c r="BO43" t="str">
        <f t="shared" si="8"/>
        <v>O1P</v>
      </c>
    </row>
    <row r="44" spans="2:67" x14ac:dyDescent="0.25">
      <c r="B44">
        <v>42</v>
      </c>
      <c r="C44">
        <v>0.03</v>
      </c>
      <c r="D44">
        <v>2.5</v>
      </c>
      <c r="E44">
        <v>42</v>
      </c>
      <c r="F44">
        <v>1.008</v>
      </c>
      <c r="G44" t="s">
        <v>63</v>
      </c>
      <c r="Q44">
        <v>43</v>
      </c>
      <c r="R44">
        <v>18</v>
      </c>
      <c r="S44">
        <v>1</v>
      </c>
      <c r="T44">
        <v>0.109</v>
      </c>
      <c r="U44">
        <v>284512</v>
      </c>
      <c r="V44" t="str">
        <f t="shared" si="5"/>
        <v>HP</v>
      </c>
      <c r="W44" t="str">
        <f t="shared" si="6"/>
        <v>C1P</v>
      </c>
      <c r="AG44">
        <v>17</v>
      </c>
      <c r="AH44">
        <v>18</v>
      </c>
      <c r="AI44">
        <v>44</v>
      </c>
      <c r="AJ44">
        <v>1</v>
      </c>
      <c r="AK44">
        <v>109.5</v>
      </c>
      <c r="AL44">
        <v>292.88</v>
      </c>
      <c r="AM44" t="str">
        <f t="shared" si="7"/>
        <v>O1P</v>
      </c>
      <c r="AN44" t="str">
        <f t="shared" si="7"/>
        <v>C1P</v>
      </c>
      <c r="AO44" t="str">
        <f t="shared" si="7"/>
        <v>HP</v>
      </c>
      <c r="BA44">
        <v>34</v>
      </c>
      <c r="BB44">
        <v>12</v>
      </c>
      <c r="BC44">
        <v>13</v>
      </c>
      <c r="BD44">
        <v>14</v>
      </c>
      <c r="BE44">
        <v>3</v>
      </c>
      <c r="BF44">
        <v>0.97899999999999998</v>
      </c>
      <c r="BG44">
        <v>2.9369999999999998</v>
      </c>
      <c r="BH44">
        <v>0</v>
      </c>
      <c r="BI44">
        <v>-3.9159999999999999</v>
      </c>
      <c r="BJ44">
        <v>0</v>
      </c>
      <c r="BK44">
        <v>0</v>
      </c>
      <c r="BL44" t="str">
        <f t="shared" si="8"/>
        <v>HP</v>
      </c>
      <c r="BM44" t="str">
        <f t="shared" si="8"/>
        <v>C1P</v>
      </c>
      <c r="BN44" t="str">
        <f t="shared" si="8"/>
        <v>C1P</v>
      </c>
      <c r="BO44" t="str">
        <f t="shared" si="8"/>
        <v>O1P</v>
      </c>
    </row>
    <row r="45" spans="2:67" x14ac:dyDescent="0.25">
      <c r="B45">
        <v>43</v>
      </c>
      <c r="C45">
        <v>0.03</v>
      </c>
      <c r="D45">
        <v>2.5</v>
      </c>
      <c r="E45">
        <v>43</v>
      </c>
      <c r="F45">
        <v>1.008</v>
      </c>
      <c r="G45" t="s">
        <v>63</v>
      </c>
      <c r="Q45">
        <v>44</v>
      </c>
      <c r="R45">
        <v>18</v>
      </c>
      <c r="S45">
        <v>1</v>
      </c>
      <c r="T45">
        <v>0.109</v>
      </c>
      <c r="U45">
        <v>284512</v>
      </c>
      <c r="V45" t="str">
        <f t="shared" si="5"/>
        <v>HP</v>
      </c>
      <c r="W45" t="str">
        <f t="shared" si="6"/>
        <v>C1P</v>
      </c>
      <c r="AG45">
        <v>42</v>
      </c>
      <c r="AH45">
        <v>18</v>
      </c>
      <c r="AI45">
        <v>44</v>
      </c>
      <c r="AJ45">
        <v>1</v>
      </c>
      <c r="AK45">
        <v>107.8</v>
      </c>
      <c r="AL45">
        <v>276.14400000000001</v>
      </c>
      <c r="AM45" t="str">
        <f t="shared" si="7"/>
        <v>HP</v>
      </c>
      <c r="AN45" t="str">
        <f t="shared" si="7"/>
        <v>C1P</v>
      </c>
      <c r="AO45" t="str">
        <f t="shared" si="7"/>
        <v>HP</v>
      </c>
      <c r="BA45">
        <v>29</v>
      </c>
      <c r="BB45">
        <v>7</v>
      </c>
      <c r="BC45">
        <v>6</v>
      </c>
      <c r="BD45">
        <v>5</v>
      </c>
      <c r="BE45">
        <v>3</v>
      </c>
      <c r="BF45">
        <v>0.97899999999999998</v>
      </c>
      <c r="BG45">
        <v>2.9369999999999998</v>
      </c>
      <c r="BH45">
        <v>0</v>
      </c>
      <c r="BI45">
        <v>-3.9159999999999999</v>
      </c>
      <c r="BJ45">
        <v>0</v>
      </c>
      <c r="BK45">
        <v>0</v>
      </c>
      <c r="BL45" t="str">
        <f t="shared" si="8"/>
        <v>HP</v>
      </c>
      <c r="BM45" t="str">
        <f t="shared" si="8"/>
        <v>C1P</v>
      </c>
      <c r="BN45" t="str">
        <f t="shared" si="8"/>
        <v>C1P</v>
      </c>
      <c r="BO45" t="str">
        <f t="shared" si="8"/>
        <v>O1P</v>
      </c>
    </row>
    <row r="46" spans="2:67" x14ac:dyDescent="0.25">
      <c r="B46">
        <v>44</v>
      </c>
      <c r="C46">
        <v>0.03</v>
      </c>
      <c r="D46">
        <v>2.5</v>
      </c>
      <c r="E46">
        <v>44</v>
      </c>
      <c r="F46">
        <v>1.008</v>
      </c>
      <c r="G46" t="s">
        <v>63</v>
      </c>
      <c r="AG46">
        <v>11</v>
      </c>
      <c r="AH46">
        <v>10</v>
      </c>
      <c r="AI46">
        <v>33</v>
      </c>
      <c r="AJ46">
        <v>1</v>
      </c>
      <c r="AK46">
        <v>109.5</v>
      </c>
      <c r="AL46">
        <v>292.88</v>
      </c>
      <c r="AM46" t="str">
        <f t="shared" si="7"/>
        <v>O1P</v>
      </c>
      <c r="AN46" t="str">
        <f t="shared" si="7"/>
        <v>C1P</v>
      </c>
      <c r="AO46" t="str">
        <f t="shared" si="7"/>
        <v>HP</v>
      </c>
      <c r="BA46">
        <v>39</v>
      </c>
      <c r="BB46">
        <v>15</v>
      </c>
      <c r="BC46">
        <v>16</v>
      </c>
      <c r="BD46">
        <v>17</v>
      </c>
      <c r="BE46">
        <v>3</v>
      </c>
      <c r="BF46">
        <v>0.97899999999999998</v>
      </c>
      <c r="BG46">
        <v>2.9369999999999998</v>
      </c>
      <c r="BH46">
        <v>0</v>
      </c>
      <c r="BI46">
        <v>-3.9159999999999999</v>
      </c>
      <c r="BJ46">
        <v>0</v>
      </c>
      <c r="BK46">
        <v>0</v>
      </c>
      <c r="BL46" t="str">
        <f t="shared" si="8"/>
        <v>HP</v>
      </c>
      <c r="BM46" t="str">
        <f t="shared" si="8"/>
        <v>C1P</v>
      </c>
      <c r="BN46" t="str">
        <f t="shared" si="8"/>
        <v>C1P</v>
      </c>
      <c r="BO46" t="str">
        <f t="shared" si="8"/>
        <v>O1P</v>
      </c>
    </row>
    <row r="47" spans="2:67" x14ac:dyDescent="0.25">
      <c r="AG47">
        <v>10</v>
      </c>
      <c r="AH47">
        <v>9</v>
      </c>
      <c r="AI47">
        <v>30</v>
      </c>
      <c r="AJ47">
        <v>1</v>
      </c>
      <c r="AK47">
        <v>110.7</v>
      </c>
      <c r="AL47">
        <v>313.8</v>
      </c>
      <c r="AM47" t="str">
        <f t="shared" si="7"/>
        <v>C1P</v>
      </c>
      <c r="AN47" t="str">
        <f t="shared" si="7"/>
        <v>C1P</v>
      </c>
      <c r="AO47" t="str">
        <f t="shared" si="7"/>
        <v>HP</v>
      </c>
      <c r="BA47">
        <v>36</v>
      </c>
      <c r="BB47">
        <v>13</v>
      </c>
      <c r="BC47">
        <v>12</v>
      </c>
      <c r="BD47">
        <v>11</v>
      </c>
      <c r="BE47">
        <v>3</v>
      </c>
      <c r="BF47">
        <v>0.97899999999999998</v>
      </c>
      <c r="BG47">
        <v>2.9369999999999998</v>
      </c>
      <c r="BH47">
        <v>0</v>
      </c>
      <c r="BI47">
        <v>-3.9159999999999999</v>
      </c>
      <c r="BJ47">
        <v>0</v>
      </c>
      <c r="BK47">
        <v>0</v>
      </c>
      <c r="BL47" t="str">
        <f t="shared" si="8"/>
        <v>HP</v>
      </c>
      <c r="BM47" t="str">
        <f t="shared" si="8"/>
        <v>C1P</v>
      </c>
      <c r="BN47" t="str">
        <f t="shared" si="8"/>
        <v>C1P</v>
      </c>
      <c r="BO47" t="str">
        <f t="shared" si="8"/>
        <v>O1P</v>
      </c>
    </row>
    <row r="48" spans="2:67" x14ac:dyDescent="0.25">
      <c r="AG48">
        <v>17</v>
      </c>
      <c r="AH48">
        <v>16</v>
      </c>
      <c r="AI48">
        <v>40</v>
      </c>
      <c r="AJ48">
        <v>1</v>
      </c>
      <c r="AK48">
        <v>109.5</v>
      </c>
      <c r="AL48">
        <v>292.88</v>
      </c>
      <c r="AM48" t="str">
        <f t="shared" si="7"/>
        <v>O1P</v>
      </c>
      <c r="AN48" t="str">
        <f t="shared" si="7"/>
        <v>C1P</v>
      </c>
      <c r="AO48" t="str">
        <f t="shared" si="7"/>
        <v>HP</v>
      </c>
      <c r="BA48">
        <v>24</v>
      </c>
      <c r="BB48">
        <v>4</v>
      </c>
      <c r="BC48">
        <v>3</v>
      </c>
      <c r="BD48">
        <v>2</v>
      </c>
      <c r="BE48">
        <v>3</v>
      </c>
      <c r="BF48">
        <v>0.97899999999999998</v>
      </c>
      <c r="BG48">
        <v>2.9369999999999998</v>
      </c>
      <c r="BH48">
        <v>0</v>
      </c>
      <c r="BI48">
        <v>-3.9159999999999999</v>
      </c>
      <c r="BJ48">
        <v>0</v>
      </c>
      <c r="BK48">
        <v>0</v>
      </c>
      <c r="BL48" t="str">
        <f t="shared" si="8"/>
        <v>HP</v>
      </c>
      <c r="BM48" t="str">
        <f t="shared" si="8"/>
        <v>C1P</v>
      </c>
      <c r="BN48" t="str">
        <f t="shared" si="8"/>
        <v>C1P</v>
      </c>
      <c r="BO48" t="str">
        <f t="shared" si="8"/>
        <v>O1P</v>
      </c>
    </row>
    <row r="49" spans="33:67" x14ac:dyDescent="0.25">
      <c r="AG49">
        <v>17</v>
      </c>
      <c r="AH49">
        <v>16</v>
      </c>
      <c r="AI49">
        <v>41</v>
      </c>
      <c r="AJ49">
        <v>1</v>
      </c>
      <c r="AK49">
        <v>109.5</v>
      </c>
      <c r="AL49">
        <v>292.88</v>
      </c>
      <c r="AM49" t="str">
        <f t="shared" si="7"/>
        <v>O1P</v>
      </c>
      <c r="AN49" t="str">
        <f t="shared" si="7"/>
        <v>C1P</v>
      </c>
      <c r="AO49" t="str">
        <f t="shared" si="7"/>
        <v>HP</v>
      </c>
      <c r="BA49">
        <v>40</v>
      </c>
      <c r="BB49">
        <v>16</v>
      </c>
      <c r="BC49">
        <v>15</v>
      </c>
      <c r="BD49">
        <v>14</v>
      </c>
      <c r="BE49">
        <v>3</v>
      </c>
      <c r="BF49">
        <v>0.97899999999999998</v>
      </c>
      <c r="BG49">
        <v>2.9369999999999998</v>
      </c>
      <c r="BH49">
        <v>0</v>
      </c>
      <c r="BI49">
        <v>-3.9159999999999999</v>
      </c>
      <c r="BJ49">
        <v>0</v>
      </c>
      <c r="BK49">
        <v>0</v>
      </c>
      <c r="BL49" t="str">
        <f t="shared" si="8"/>
        <v>HP</v>
      </c>
      <c r="BM49" t="str">
        <f t="shared" si="8"/>
        <v>C1P</v>
      </c>
      <c r="BN49" t="str">
        <f t="shared" si="8"/>
        <v>C1P</v>
      </c>
      <c r="BO49" t="str">
        <f t="shared" si="8"/>
        <v>O1P</v>
      </c>
    </row>
    <row r="50" spans="33:67" x14ac:dyDescent="0.25">
      <c r="AG50">
        <v>20</v>
      </c>
      <c r="AH50">
        <v>1</v>
      </c>
      <c r="AI50">
        <v>21</v>
      </c>
      <c r="AJ50">
        <v>1</v>
      </c>
      <c r="AK50">
        <v>107.8</v>
      </c>
      <c r="AL50">
        <v>276.14400000000001</v>
      </c>
      <c r="AM50" t="str">
        <f t="shared" si="7"/>
        <v>HP</v>
      </c>
      <c r="AN50" t="str">
        <f t="shared" si="7"/>
        <v>C1P</v>
      </c>
      <c r="AO50" t="str">
        <f t="shared" si="7"/>
        <v>HP</v>
      </c>
      <c r="BA50">
        <v>38</v>
      </c>
      <c r="BB50">
        <v>15</v>
      </c>
      <c r="BC50">
        <v>16</v>
      </c>
      <c r="BD50">
        <v>17</v>
      </c>
      <c r="BE50">
        <v>3</v>
      </c>
      <c r="BF50">
        <v>0.97899999999999998</v>
      </c>
      <c r="BG50">
        <v>2.9369999999999998</v>
      </c>
      <c r="BH50">
        <v>0</v>
      </c>
      <c r="BI50">
        <v>-3.9159999999999999</v>
      </c>
      <c r="BJ50">
        <v>0</v>
      </c>
      <c r="BK50">
        <v>0</v>
      </c>
      <c r="BL50" t="str">
        <f t="shared" si="8"/>
        <v>HP</v>
      </c>
      <c r="BM50" t="str">
        <f t="shared" si="8"/>
        <v>C1P</v>
      </c>
      <c r="BN50" t="str">
        <f t="shared" si="8"/>
        <v>C1P</v>
      </c>
      <c r="BO50" t="str">
        <f t="shared" si="8"/>
        <v>O1P</v>
      </c>
    </row>
    <row r="51" spans="33:67" x14ac:dyDescent="0.25">
      <c r="AG51">
        <v>14</v>
      </c>
      <c r="AH51">
        <v>13</v>
      </c>
      <c r="AI51">
        <v>37</v>
      </c>
      <c r="AJ51">
        <v>1</v>
      </c>
      <c r="AK51">
        <v>109.5</v>
      </c>
      <c r="AL51">
        <v>292.88</v>
      </c>
      <c r="AM51" t="str">
        <f t="shared" si="7"/>
        <v>O1P</v>
      </c>
      <c r="AN51" t="str">
        <f t="shared" si="7"/>
        <v>C1P</v>
      </c>
      <c r="AO51" t="str">
        <f t="shared" si="7"/>
        <v>HP</v>
      </c>
      <c r="BA51">
        <v>28</v>
      </c>
      <c r="BB51">
        <v>7</v>
      </c>
      <c r="BC51">
        <v>6</v>
      </c>
      <c r="BD51">
        <v>5</v>
      </c>
      <c r="BE51">
        <v>3</v>
      </c>
      <c r="BF51">
        <v>0.97899999999999998</v>
      </c>
      <c r="BG51">
        <v>2.9369999999999998</v>
      </c>
      <c r="BH51">
        <v>0</v>
      </c>
      <c r="BI51">
        <v>-3.9159999999999999</v>
      </c>
      <c r="BJ51">
        <v>0</v>
      </c>
      <c r="BK51">
        <v>0</v>
      </c>
      <c r="BL51" t="str">
        <f t="shared" si="8"/>
        <v>HP</v>
      </c>
      <c r="BM51" t="str">
        <f t="shared" si="8"/>
        <v>C1P</v>
      </c>
      <c r="BN51" t="str">
        <f t="shared" si="8"/>
        <v>C1P</v>
      </c>
      <c r="BO51" t="str">
        <f t="shared" si="8"/>
        <v>O1P</v>
      </c>
    </row>
    <row r="52" spans="33:67" x14ac:dyDescent="0.25">
      <c r="AG52">
        <v>30</v>
      </c>
      <c r="AH52">
        <v>9</v>
      </c>
      <c r="AI52">
        <v>31</v>
      </c>
      <c r="AJ52">
        <v>1</v>
      </c>
      <c r="AK52">
        <v>107.8</v>
      </c>
      <c r="AL52">
        <v>276.14400000000001</v>
      </c>
      <c r="AM52" t="str">
        <f t="shared" si="7"/>
        <v>HP</v>
      </c>
      <c r="AN52" t="str">
        <f t="shared" si="7"/>
        <v>C1P</v>
      </c>
      <c r="AO52" t="str">
        <f t="shared" si="7"/>
        <v>HP</v>
      </c>
      <c r="BA52">
        <v>41</v>
      </c>
      <c r="BB52">
        <v>16</v>
      </c>
      <c r="BC52">
        <v>15</v>
      </c>
      <c r="BD52">
        <v>14</v>
      </c>
      <c r="BE52">
        <v>3</v>
      </c>
      <c r="BF52">
        <v>0.97899999999999998</v>
      </c>
      <c r="BG52">
        <v>2.9369999999999998</v>
      </c>
      <c r="BH52">
        <v>0</v>
      </c>
      <c r="BI52">
        <v>-3.9159999999999999</v>
      </c>
      <c r="BJ52">
        <v>0</v>
      </c>
      <c r="BK52">
        <v>0</v>
      </c>
      <c r="BL52" t="str">
        <f t="shared" si="8"/>
        <v>HP</v>
      </c>
      <c r="BM52" t="str">
        <f t="shared" si="8"/>
        <v>C1P</v>
      </c>
      <c r="BN52" t="str">
        <f t="shared" si="8"/>
        <v>C1P</v>
      </c>
      <c r="BO52" t="str">
        <f t="shared" si="8"/>
        <v>O1P</v>
      </c>
    </row>
    <row r="53" spans="33:67" x14ac:dyDescent="0.25">
      <c r="AG53">
        <v>40</v>
      </c>
      <c r="AH53">
        <v>16</v>
      </c>
      <c r="AI53">
        <v>41</v>
      </c>
      <c r="AJ53">
        <v>1</v>
      </c>
      <c r="AK53">
        <v>107.8</v>
      </c>
      <c r="AL53">
        <v>276.14400000000001</v>
      </c>
      <c r="AM53" t="str">
        <f t="shared" si="7"/>
        <v>HP</v>
      </c>
      <c r="AN53" t="str">
        <f t="shared" si="7"/>
        <v>C1P</v>
      </c>
      <c r="AO53" t="str">
        <f t="shared" si="7"/>
        <v>HP</v>
      </c>
      <c r="BA53">
        <v>25</v>
      </c>
      <c r="BB53">
        <v>4</v>
      </c>
      <c r="BC53">
        <v>5</v>
      </c>
      <c r="BD53">
        <v>6</v>
      </c>
      <c r="BE53">
        <v>3</v>
      </c>
      <c r="BF53">
        <v>1.59</v>
      </c>
      <c r="BG53">
        <v>4.7699999999999996</v>
      </c>
      <c r="BH53">
        <v>0</v>
      </c>
      <c r="BI53">
        <v>-6.36</v>
      </c>
      <c r="BJ53">
        <v>0</v>
      </c>
      <c r="BK53">
        <v>0</v>
      </c>
      <c r="BL53" t="str">
        <f t="shared" si="8"/>
        <v>HP</v>
      </c>
      <c r="BM53" t="str">
        <f t="shared" si="8"/>
        <v>C1P</v>
      </c>
      <c r="BN53" t="str">
        <f t="shared" si="8"/>
        <v>O1P</v>
      </c>
      <c r="BO53" t="str">
        <f t="shared" si="8"/>
        <v>C1P</v>
      </c>
    </row>
    <row r="54" spans="33:67" x14ac:dyDescent="0.25">
      <c r="AG54">
        <v>5</v>
      </c>
      <c r="AH54">
        <v>4</v>
      </c>
      <c r="AI54">
        <v>24</v>
      </c>
      <c r="AJ54">
        <v>1</v>
      </c>
      <c r="AK54">
        <v>109.5</v>
      </c>
      <c r="AL54">
        <v>292.88</v>
      </c>
      <c r="AM54" t="str">
        <f t="shared" si="7"/>
        <v>O1P</v>
      </c>
      <c r="AN54" t="str">
        <f t="shared" si="7"/>
        <v>C1P</v>
      </c>
      <c r="AO54" t="str">
        <f t="shared" si="7"/>
        <v>HP</v>
      </c>
      <c r="BA54">
        <v>39</v>
      </c>
      <c r="BB54">
        <v>15</v>
      </c>
      <c r="BC54">
        <v>14</v>
      </c>
      <c r="BD54">
        <v>13</v>
      </c>
      <c r="BE54">
        <v>3</v>
      </c>
      <c r="BF54">
        <v>1.59</v>
      </c>
      <c r="BG54">
        <v>4.7699999999999996</v>
      </c>
      <c r="BH54">
        <v>0</v>
      </c>
      <c r="BI54">
        <v>-6.36</v>
      </c>
      <c r="BJ54">
        <v>0</v>
      </c>
      <c r="BK54">
        <v>0</v>
      </c>
      <c r="BL54" t="str">
        <f t="shared" si="8"/>
        <v>HP</v>
      </c>
      <c r="BM54" t="str">
        <f t="shared" si="8"/>
        <v>C1P</v>
      </c>
      <c r="BN54" t="str">
        <f t="shared" si="8"/>
        <v>O1P</v>
      </c>
      <c r="BO54" t="str">
        <f t="shared" si="8"/>
        <v>C1P</v>
      </c>
    </row>
    <row r="55" spans="33:67" x14ac:dyDescent="0.25">
      <c r="AG55">
        <v>7</v>
      </c>
      <c r="AH55">
        <v>6</v>
      </c>
      <c r="AI55">
        <v>27</v>
      </c>
      <c r="AJ55">
        <v>1</v>
      </c>
      <c r="AK55">
        <v>110.7</v>
      </c>
      <c r="AL55">
        <v>313.8</v>
      </c>
      <c r="AM55" t="str">
        <f t="shared" si="7"/>
        <v>C1P</v>
      </c>
      <c r="AN55" t="str">
        <f t="shared" si="7"/>
        <v>C1P</v>
      </c>
      <c r="AO55" t="str">
        <f t="shared" si="7"/>
        <v>HP</v>
      </c>
      <c r="BA55">
        <v>43</v>
      </c>
      <c r="BB55">
        <v>18</v>
      </c>
      <c r="BC55">
        <v>17</v>
      </c>
      <c r="BD55">
        <v>16</v>
      </c>
      <c r="BE55">
        <v>3</v>
      </c>
      <c r="BF55">
        <v>1.59</v>
      </c>
      <c r="BG55">
        <v>4.7699999999999996</v>
      </c>
      <c r="BH55">
        <v>0</v>
      </c>
      <c r="BI55">
        <v>-6.36</v>
      </c>
      <c r="BJ55">
        <v>0</v>
      </c>
      <c r="BK55">
        <v>0</v>
      </c>
      <c r="BL55" t="str">
        <f t="shared" si="8"/>
        <v>HP</v>
      </c>
      <c r="BM55" t="str">
        <f t="shared" si="8"/>
        <v>C1P</v>
      </c>
      <c r="BN55" t="str">
        <f t="shared" si="8"/>
        <v>O1P</v>
      </c>
      <c r="BO55" t="str">
        <f t="shared" si="8"/>
        <v>C1P</v>
      </c>
    </row>
    <row r="56" spans="33:67" x14ac:dyDescent="0.25">
      <c r="AG56">
        <v>4</v>
      </c>
      <c r="AH56">
        <v>3</v>
      </c>
      <c r="AI56">
        <v>23</v>
      </c>
      <c r="AJ56">
        <v>1</v>
      </c>
      <c r="AK56">
        <v>110.7</v>
      </c>
      <c r="AL56">
        <v>313.8</v>
      </c>
      <c r="AM56" t="str">
        <f t="shared" si="7"/>
        <v>C1P</v>
      </c>
      <c r="AN56" t="str">
        <f t="shared" si="7"/>
        <v>C1P</v>
      </c>
      <c r="AO56" t="str">
        <f t="shared" si="7"/>
        <v>HP</v>
      </c>
      <c r="BA56">
        <v>36</v>
      </c>
      <c r="BB56">
        <v>13</v>
      </c>
      <c r="BC56">
        <v>14</v>
      </c>
      <c r="BD56">
        <v>15</v>
      </c>
      <c r="BE56">
        <v>3</v>
      </c>
      <c r="BF56">
        <v>1.59</v>
      </c>
      <c r="BG56">
        <v>4.7699999999999996</v>
      </c>
      <c r="BH56">
        <v>0</v>
      </c>
      <c r="BI56">
        <v>-6.36</v>
      </c>
      <c r="BJ56">
        <v>0</v>
      </c>
      <c r="BK56">
        <v>0</v>
      </c>
      <c r="BL56" t="str">
        <f t="shared" si="8"/>
        <v>HP</v>
      </c>
      <c r="BM56" t="str">
        <f t="shared" si="8"/>
        <v>C1P</v>
      </c>
      <c r="BN56" t="str">
        <f t="shared" si="8"/>
        <v>O1P</v>
      </c>
      <c r="BO56" t="str">
        <f t="shared" si="8"/>
        <v>C1P</v>
      </c>
    </row>
    <row r="57" spans="33:67" x14ac:dyDescent="0.25">
      <c r="AG57">
        <v>32</v>
      </c>
      <c r="AH57">
        <v>10</v>
      </c>
      <c r="AI57">
        <v>33</v>
      </c>
      <c r="AJ57">
        <v>1</v>
      </c>
      <c r="AK57">
        <v>107.8</v>
      </c>
      <c r="AL57">
        <v>276.14400000000001</v>
      </c>
      <c r="AM57" t="str">
        <f t="shared" si="7"/>
        <v>HP</v>
      </c>
      <c r="AN57" t="str">
        <f t="shared" si="7"/>
        <v>C1P</v>
      </c>
      <c r="AO57" t="str">
        <f t="shared" si="7"/>
        <v>HP</v>
      </c>
      <c r="BA57">
        <v>44</v>
      </c>
      <c r="BB57">
        <v>18</v>
      </c>
      <c r="BC57">
        <v>17</v>
      </c>
      <c r="BD57">
        <v>16</v>
      </c>
      <c r="BE57">
        <v>3</v>
      </c>
      <c r="BF57">
        <v>1.59</v>
      </c>
      <c r="BG57">
        <v>4.7699999999999996</v>
      </c>
      <c r="BH57">
        <v>0</v>
      </c>
      <c r="BI57">
        <v>-6.36</v>
      </c>
      <c r="BJ57">
        <v>0</v>
      </c>
      <c r="BK57">
        <v>0</v>
      </c>
      <c r="BL57" t="str">
        <f t="shared" si="8"/>
        <v>HP</v>
      </c>
      <c r="BM57" t="str">
        <f t="shared" si="8"/>
        <v>C1P</v>
      </c>
      <c r="BN57" t="str">
        <f t="shared" si="8"/>
        <v>O1P</v>
      </c>
      <c r="BO57" t="str">
        <f t="shared" si="8"/>
        <v>C1P</v>
      </c>
    </row>
    <row r="58" spans="33:67" x14ac:dyDescent="0.25">
      <c r="AG58">
        <v>24</v>
      </c>
      <c r="AH58">
        <v>4</v>
      </c>
      <c r="AI58">
        <v>25</v>
      </c>
      <c r="AJ58">
        <v>1</v>
      </c>
      <c r="AK58">
        <v>107.8</v>
      </c>
      <c r="AL58">
        <v>276.14400000000001</v>
      </c>
      <c r="AM58" t="str">
        <f t="shared" si="7"/>
        <v>HP</v>
      </c>
      <c r="AN58" t="str">
        <f t="shared" si="7"/>
        <v>C1P</v>
      </c>
      <c r="AO58" t="str">
        <f t="shared" si="7"/>
        <v>HP</v>
      </c>
      <c r="BA58">
        <v>30</v>
      </c>
      <c r="BB58">
        <v>9</v>
      </c>
      <c r="BC58">
        <v>8</v>
      </c>
      <c r="BD58">
        <v>7</v>
      </c>
      <c r="BE58">
        <v>3</v>
      </c>
      <c r="BF58">
        <v>1.59</v>
      </c>
      <c r="BG58">
        <v>4.7699999999999996</v>
      </c>
      <c r="BH58">
        <v>0</v>
      </c>
      <c r="BI58">
        <v>-6.36</v>
      </c>
      <c r="BJ58">
        <v>0</v>
      </c>
      <c r="BK58">
        <v>0</v>
      </c>
      <c r="BL58" t="str">
        <f t="shared" si="8"/>
        <v>HP</v>
      </c>
      <c r="BM58" t="str">
        <f t="shared" si="8"/>
        <v>C1P</v>
      </c>
      <c r="BN58" t="str">
        <f t="shared" si="8"/>
        <v>O1P</v>
      </c>
      <c r="BO58" t="str">
        <f t="shared" si="8"/>
        <v>C1P</v>
      </c>
    </row>
    <row r="59" spans="33:67" x14ac:dyDescent="0.25">
      <c r="AG59">
        <v>4</v>
      </c>
      <c r="AH59">
        <v>3</v>
      </c>
      <c r="AI59">
        <v>22</v>
      </c>
      <c r="AJ59">
        <v>1</v>
      </c>
      <c r="AK59">
        <v>110.7</v>
      </c>
      <c r="AL59">
        <v>313.8</v>
      </c>
      <c r="AM59" t="str">
        <f t="shared" si="7"/>
        <v>C1P</v>
      </c>
      <c r="AN59" t="str">
        <f t="shared" si="7"/>
        <v>C1P</v>
      </c>
      <c r="AO59" t="str">
        <f t="shared" si="7"/>
        <v>HP</v>
      </c>
      <c r="BA59">
        <v>35</v>
      </c>
      <c r="BB59">
        <v>12</v>
      </c>
      <c r="BC59">
        <v>11</v>
      </c>
      <c r="BD59">
        <v>10</v>
      </c>
      <c r="BE59">
        <v>3</v>
      </c>
      <c r="BF59">
        <v>1.59</v>
      </c>
      <c r="BG59">
        <v>4.7699999999999996</v>
      </c>
      <c r="BH59">
        <v>0</v>
      </c>
      <c r="BI59">
        <v>-6.36</v>
      </c>
      <c r="BJ59">
        <v>0</v>
      </c>
      <c r="BK59">
        <v>0</v>
      </c>
      <c r="BL59" t="str">
        <f t="shared" si="8"/>
        <v>HP</v>
      </c>
      <c r="BM59" t="str">
        <f t="shared" si="8"/>
        <v>C1P</v>
      </c>
      <c r="BN59" t="str">
        <f t="shared" si="8"/>
        <v>O1P</v>
      </c>
      <c r="BO59" t="str">
        <f t="shared" si="8"/>
        <v>C1P</v>
      </c>
    </row>
    <row r="60" spans="33:67" x14ac:dyDescent="0.25">
      <c r="AG60">
        <v>13</v>
      </c>
      <c r="AH60">
        <v>12</v>
      </c>
      <c r="AI60">
        <v>34</v>
      </c>
      <c r="AJ60">
        <v>1</v>
      </c>
      <c r="AK60">
        <v>110.7</v>
      </c>
      <c r="AL60">
        <v>313.8</v>
      </c>
      <c r="AM60" t="str">
        <f t="shared" si="7"/>
        <v>C1P</v>
      </c>
      <c r="AN60" t="str">
        <f t="shared" si="7"/>
        <v>C1P</v>
      </c>
      <c r="AO60" t="str">
        <f t="shared" si="7"/>
        <v>HP</v>
      </c>
      <c r="BA60">
        <v>19</v>
      </c>
      <c r="BB60">
        <v>1</v>
      </c>
      <c r="BC60">
        <v>2</v>
      </c>
      <c r="BD60">
        <v>3</v>
      </c>
      <c r="BE60">
        <v>3</v>
      </c>
      <c r="BF60">
        <v>1.59</v>
      </c>
      <c r="BG60">
        <v>4.7699999999999996</v>
      </c>
      <c r="BH60">
        <v>0</v>
      </c>
      <c r="BI60">
        <v>-6.36</v>
      </c>
      <c r="BJ60">
        <v>0</v>
      </c>
      <c r="BK60">
        <v>0</v>
      </c>
      <c r="BL60" t="str">
        <f t="shared" si="8"/>
        <v>HP</v>
      </c>
      <c r="BM60" t="str">
        <f t="shared" si="8"/>
        <v>C1P</v>
      </c>
      <c r="BN60" t="str">
        <f t="shared" si="8"/>
        <v>O1P</v>
      </c>
      <c r="BO60" t="str">
        <f t="shared" si="8"/>
        <v>C1P</v>
      </c>
    </row>
    <row r="61" spans="33:67" x14ac:dyDescent="0.25">
      <c r="AG61">
        <v>43</v>
      </c>
      <c r="AH61">
        <v>18</v>
      </c>
      <c r="AI61">
        <v>44</v>
      </c>
      <c r="AJ61">
        <v>1</v>
      </c>
      <c r="AK61">
        <v>107.8</v>
      </c>
      <c r="AL61">
        <v>276.14400000000001</v>
      </c>
      <c r="AM61" t="str">
        <f t="shared" si="7"/>
        <v>HP</v>
      </c>
      <c r="AN61" t="str">
        <f t="shared" si="7"/>
        <v>C1P</v>
      </c>
      <c r="AO61" t="str">
        <f t="shared" si="7"/>
        <v>HP</v>
      </c>
      <c r="BA61">
        <v>21</v>
      </c>
      <c r="BB61">
        <v>1</v>
      </c>
      <c r="BC61">
        <v>2</v>
      </c>
      <c r="BD61">
        <v>3</v>
      </c>
      <c r="BE61">
        <v>3</v>
      </c>
      <c r="BF61">
        <v>1.59</v>
      </c>
      <c r="BG61">
        <v>4.7699999999999996</v>
      </c>
      <c r="BH61">
        <v>0</v>
      </c>
      <c r="BI61">
        <v>-6.36</v>
      </c>
      <c r="BJ61">
        <v>0</v>
      </c>
      <c r="BK61">
        <v>0</v>
      </c>
      <c r="BL61" t="str">
        <f t="shared" si="8"/>
        <v>HP</v>
      </c>
      <c r="BM61" t="str">
        <f t="shared" si="8"/>
        <v>C1P</v>
      </c>
      <c r="BN61" t="str">
        <f t="shared" si="8"/>
        <v>O1P</v>
      </c>
      <c r="BO61" t="str">
        <f t="shared" si="8"/>
        <v>C1P</v>
      </c>
    </row>
    <row r="62" spans="33:67" x14ac:dyDescent="0.25">
      <c r="AG62">
        <v>11</v>
      </c>
      <c r="AH62">
        <v>10</v>
      </c>
      <c r="AI62">
        <v>32</v>
      </c>
      <c r="AJ62">
        <v>1</v>
      </c>
      <c r="AK62">
        <v>109.5</v>
      </c>
      <c r="AL62">
        <v>292.88</v>
      </c>
      <c r="AM62" t="str">
        <f t="shared" si="7"/>
        <v>O1P</v>
      </c>
      <c r="AN62" t="str">
        <f t="shared" si="7"/>
        <v>C1P</v>
      </c>
      <c r="AO62" t="str">
        <f t="shared" si="7"/>
        <v>HP</v>
      </c>
      <c r="BA62">
        <v>23</v>
      </c>
      <c r="BB62">
        <v>3</v>
      </c>
      <c r="BC62">
        <v>2</v>
      </c>
      <c r="BD62">
        <v>1</v>
      </c>
      <c r="BE62">
        <v>3</v>
      </c>
      <c r="BF62">
        <v>1.59</v>
      </c>
      <c r="BG62">
        <v>4.7699999999999996</v>
      </c>
      <c r="BH62">
        <v>0</v>
      </c>
      <c r="BI62">
        <v>-6.36</v>
      </c>
      <c r="BJ62">
        <v>0</v>
      </c>
      <c r="BK62">
        <v>0</v>
      </c>
      <c r="BL62" t="str">
        <f t="shared" si="8"/>
        <v>HP</v>
      </c>
      <c r="BM62" t="str">
        <f t="shared" si="8"/>
        <v>C1P</v>
      </c>
      <c r="BN62" t="str">
        <f t="shared" si="8"/>
        <v>O1P</v>
      </c>
      <c r="BO62" t="str">
        <f t="shared" si="8"/>
        <v>C1P</v>
      </c>
    </row>
    <row r="63" spans="33:67" x14ac:dyDescent="0.25">
      <c r="AG63">
        <v>13</v>
      </c>
      <c r="AH63">
        <v>12</v>
      </c>
      <c r="AI63">
        <v>35</v>
      </c>
      <c r="AJ63">
        <v>1</v>
      </c>
      <c r="AK63">
        <v>110.7</v>
      </c>
      <c r="AL63">
        <v>313.8</v>
      </c>
      <c r="AM63" t="str">
        <f t="shared" si="7"/>
        <v>C1P</v>
      </c>
      <c r="AN63" t="str">
        <f t="shared" si="7"/>
        <v>C1P</v>
      </c>
      <c r="AO63" t="str">
        <f t="shared" si="7"/>
        <v>HP</v>
      </c>
      <c r="BA63">
        <v>33</v>
      </c>
      <c r="BB63">
        <v>10</v>
      </c>
      <c r="BC63">
        <v>11</v>
      </c>
      <c r="BD63">
        <v>12</v>
      </c>
      <c r="BE63">
        <v>3</v>
      </c>
      <c r="BF63">
        <v>1.59</v>
      </c>
      <c r="BG63">
        <v>4.7699999999999996</v>
      </c>
      <c r="BH63">
        <v>0</v>
      </c>
      <c r="BI63">
        <v>-6.36</v>
      </c>
      <c r="BJ63">
        <v>0</v>
      </c>
      <c r="BK63">
        <v>0</v>
      </c>
      <c r="BL63" t="str">
        <f t="shared" si="8"/>
        <v>HP</v>
      </c>
      <c r="BM63" t="str">
        <f t="shared" si="8"/>
        <v>C1P</v>
      </c>
      <c r="BN63" t="str">
        <f t="shared" si="8"/>
        <v>O1P</v>
      </c>
      <c r="BO63" t="str">
        <f t="shared" si="8"/>
        <v>C1P</v>
      </c>
    </row>
    <row r="64" spans="33:67" x14ac:dyDescent="0.25">
      <c r="AG64">
        <v>16</v>
      </c>
      <c r="AH64">
        <v>15</v>
      </c>
      <c r="AI64">
        <v>39</v>
      </c>
      <c r="AJ64">
        <v>1</v>
      </c>
      <c r="AK64">
        <v>110.7</v>
      </c>
      <c r="AL64">
        <v>313.8</v>
      </c>
      <c r="AM64" t="str">
        <f t="shared" si="7"/>
        <v>C1P</v>
      </c>
      <c r="AN64" t="str">
        <f t="shared" si="7"/>
        <v>C1P</v>
      </c>
      <c r="AO64" t="str">
        <f t="shared" si="7"/>
        <v>HP</v>
      </c>
      <c r="BA64">
        <v>41</v>
      </c>
      <c r="BB64">
        <v>16</v>
      </c>
      <c r="BC64">
        <v>17</v>
      </c>
      <c r="BD64">
        <v>18</v>
      </c>
      <c r="BE64">
        <v>3</v>
      </c>
      <c r="BF64">
        <v>1.59</v>
      </c>
      <c r="BG64">
        <v>4.7699999999999996</v>
      </c>
      <c r="BH64">
        <v>0</v>
      </c>
      <c r="BI64">
        <v>-6.36</v>
      </c>
      <c r="BJ64">
        <v>0</v>
      </c>
      <c r="BK64">
        <v>0</v>
      </c>
      <c r="BL64" t="str">
        <f t="shared" si="8"/>
        <v>HP</v>
      </c>
      <c r="BM64" t="str">
        <f t="shared" si="8"/>
        <v>C1P</v>
      </c>
      <c r="BN64" t="str">
        <f t="shared" si="8"/>
        <v>O1P</v>
      </c>
      <c r="BO64" t="str">
        <f t="shared" si="8"/>
        <v>C1P</v>
      </c>
    </row>
    <row r="65" spans="33:67" x14ac:dyDescent="0.25">
      <c r="AG65">
        <v>7</v>
      </c>
      <c r="AH65">
        <v>6</v>
      </c>
      <c r="AI65">
        <v>26</v>
      </c>
      <c r="AJ65">
        <v>1</v>
      </c>
      <c r="AK65">
        <v>110.7</v>
      </c>
      <c r="AL65">
        <v>313.8</v>
      </c>
      <c r="AM65" t="str">
        <f t="shared" si="7"/>
        <v>C1P</v>
      </c>
      <c r="AN65" t="str">
        <f t="shared" si="7"/>
        <v>C1P</v>
      </c>
      <c r="AO65" t="str">
        <f t="shared" si="7"/>
        <v>HP</v>
      </c>
      <c r="BA65">
        <v>27</v>
      </c>
      <c r="BB65">
        <v>6</v>
      </c>
      <c r="BC65">
        <v>5</v>
      </c>
      <c r="BD65">
        <v>4</v>
      </c>
      <c r="BE65">
        <v>3</v>
      </c>
      <c r="BF65">
        <v>1.59</v>
      </c>
      <c r="BG65">
        <v>4.7699999999999996</v>
      </c>
      <c r="BH65">
        <v>0</v>
      </c>
      <c r="BI65">
        <v>-6.36</v>
      </c>
      <c r="BJ65">
        <v>0</v>
      </c>
      <c r="BK65">
        <v>0</v>
      </c>
      <c r="BL65" t="str">
        <f t="shared" si="8"/>
        <v>HP</v>
      </c>
      <c r="BM65" t="str">
        <f t="shared" si="8"/>
        <v>C1P</v>
      </c>
      <c r="BN65" t="str">
        <f t="shared" si="8"/>
        <v>O1P</v>
      </c>
      <c r="BO65" t="str">
        <f t="shared" si="8"/>
        <v>C1P</v>
      </c>
    </row>
    <row r="66" spans="33:67" x14ac:dyDescent="0.25">
      <c r="AG66">
        <v>26</v>
      </c>
      <c r="AH66">
        <v>6</v>
      </c>
      <c r="AI66">
        <v>27</v>
      </c>
      <c r="AJ66">
        <v>1</v>
      </c>
      <c r="AK66">
        <v>107.8</v>
      </c>
      <c r="AL66">
        <v>276.14400000000001</v>
      </c>
      <c r="AM66" t="str">
        <f t="shared" si="7"/>
        <v>HP</v>
      </c>
      <c r="AN66" t="str">
        <f t="shared" si="7"/>
        <v>C1P</v>
      </c>
      <c r="AO66" t="str">
        <f t="shared" si="7"/>
        <v>HP</v>
      </c>
      <c r="BA66">
        <v>28</v>
      </c>
      <c r="BB66">
        <v>7</v>
      </c>
      <c r="BC66">
        <v>8</v>
      </c>
      <c r="BD66">
        <v>9</v>
      </c>
      <c r="BE66">
        <v>3</v>
      </c>
      <c r="BF66">
        <v>1.59</v>
      </c>
      <c r="BG66">
        <v>4.7699999999999996</v>
      </c>
      <c r="BH66">
        <v>0</v>
      </c>
      <c r="BI66">
        <v>-6.36</v>
      </c>
      <c r="BJ66">
        <v>0</v>
      </c>
      <c r="BK66">
        <v>0</v>
      </c>
      <c r="BL66" t="str">
        <f t="shared" si="8"/>
        <v>HP</v>
      </c>
      <c r="BM66" t="str">
        <f t="shared" si="8"/>
        <v>C1P</v>
      </c>
      <c r="BN66" t="str">
        <f t="shared" si="8"/>
        <v>O1P</v>
      </c>
      <c r="BO66" t="str">
        <f t="shared" si="8"/>
        <v>C1P</v>
      </c>
    </row>
    <row r="67" spans="33:67" x14ac:dyDescent="0.25">
      <c r="AG67">
        <v>8</v>
      </c>
      <c r="AH67">
        <v>7</v>
      </c>
      <c r="AI67">
        <v>29</v>
      </c>
      <c r="AJ67">
        <v>1</v>
      </c>
      <c r="AK67">
        <v>109.5</v>
      </c>
      <c r="AL67">
        <v>292.88</v>
      </c>
      <c r="AM67" t="str">
        <f t="shared" si="7"/>
        <v>O1P</v>
      </c>
      <c r="AN67" t="str">
        <f t="shared" si="7"/>
        <v>C1P</v>
      </c>
      <c r="AO67" t="str">
        <f t="shared" si="7"/>
        <v>HP</v>
      </c>
      <c r="BA67">
        <v>20</v>
      </c>
      <c r="BB67">
        <v>1</v>
      </c>
      <c r="BC67">
        <v>2</v>
      </c>
      <c r="BD67">
        <v>3</v>
      </c>
      <c r="BE67">
        <v>3</v>
      </c>
      <c r="BF67">
        <v>1.59</v>
      </c>
      <c r="BG67">
        <v>4.7699999999999996</v>
      </c>
      <c r="BH67">
        <v>0</v>
      </c>
      <c r="BI67">
        <v>-6.36</v>
      </c>
      <c r="BJ67">
        <v>0</v>
      </c>
      <c r="BK67">
        <v>0</v>
      </c>
      <c r="BL67" t="str">
        <f t="shared" si="8"/>
        <v>HP</v>
      </c>
      <c r="BM67" t="str">
        <f t="shared" si="8"/>
        <v>C1P</v>
      </c>
      <c r="BN67" t="str">
        <f t="shared" si="8"/>
        <v>O1P</v>
      </c>
      <c r="BO67" t="str">
        <f t="shared" si="8"/>
        <v>C1P</v>
      </c>
    </row>
    <row r="68" spans="33:67" x14ac:dyDescent="0.25">
      <c r="AG68">
        <v>8</v>
      </c>
      <c r="AH68">
        <v>7</v>
      </c>
      <c r="AI68">
        <v>28</v>
      </c>
      <c r="AJ68">
        <v>1</v>
      </c>
      <c r="AK68">
        <v>109.5</v>
      </c>
      <c r="AL68">
        <v>292.88</v>
      </c>
      <c r="AM68" t="str">
        <f t="shared" ref="AM68:AO80" si="9">_xlfn.XLOOKUP(AG68,$B$3:$B$46,$G$3:$G$46)</f>
        <v>O1P</v>
      </c>
      <c r="AN68" t="str">
        <f t="shared" si="9"/>
        <v>C1P</v>
      </c>
      <c r="AO68" t="str">
        <f t="shared" si="9"/>
        <v>HP</v>
      </c>
      <c r="BA68">
        <v>37</v>
      </c>
      <c r="BB68">
        <v>13</v>
      </c>
      <c r="BC68">
        <v>14</v>
      </c>
      <c r="BD68">
        <v>15</v>
      </c>
      <c r="BE68">
        <v>3</v>
      </c>
      <c r="BF68">
        <v>1.59</v>
      </c>
      <c r="BG68">
        <v>4.7699999999999996</v>
      </c>
      <c r="BH68">
        <v>0</v>
      </c>
      <c r="BI68">
        <v>-6.36</v>
      </c>
      <c r="BJ68">
        <v>0</v>
      </c>
      <c r="BK68">
        <v>0</v>
      </c>
      <c r="BL68" t="str">
        <f t="shared" ref="BL68:BO83" si="10">_xlfn.XLOOKUP(BA68,$B$3:$B$46,$G$3:$G$46)</f>
        <v>HP</v>
      </c>
      <c r="BM68" t="str">
        <f t="shared" si="10"/>
        <v>C1P</v>
      </c>
      <c r="BN68" t="str">
        <f t="shared" si="10"/>
        <v>O1P</v>
      </c>
      <c r="BO68" t="str">
        <f t="shared" si="10"/>
        <v>C1P</v>
      </c>
    </row>
    <row r="69" spans="33:67" x14ac:dyDescent="0.25">
      <c r="AG69">
        <v>42</v>
      </c>
      <c r="AH69">
        <v>18</v>
      </c>
      <c r="AI69">
        <v>43</v>
      </c>
      <c r="AJ69">
        <v>1</v>
      </c>
      <c r="AK69">
        <v>107.8</v>
      </c>
      <c r="AL69">
        <v>276.14400000000001</v>
      </c>
      <c r="AM69" t="str">
        <f t="shared" si="9"/>
        <v>HP</v>
      </c>
      <c r="AN69" t="str">
        <f t="shared" si="9"/>
        <v>C1P</v>
      </c>
      <c r="AO69" t="str">
        <f t="shared" si="9"/>
        <v>HP</v>
      </c>
      <c r="BA69">
        <v>29</v>
      </c>
      <c r="BB69">
        <v>7</v>
      </c>
      <c r="BC69">
        <v>8</v>
      </c>
      <c r="BD69">
        <v>9</v>
      </c>
      <c r="BE69">
        <v>3</v>
      </c>
      <c r="BF69">
        <v>1.59</v>
      </c>
      <c r="BG69">
        <v>4.7699999999999996</v>
      </c>
      <c r="BH69">
        <v>0</v>
      </c>
      <c r="BI69">
        <v>-6.36</v>
      </c>
      <c r="BJ69">
        <v>0</v>
      </c>
      <c r="BK69">
        <v>0</v>
      </c>
      <c r="BL69" t="str">
        <f t="shared" si="10"/>
        <v>HP</v>
      </c>
      <c r="BM69" t="str">
        <f t="shared" si="10"/>
        <v>C1P</v>
      </c>
      <c r="BN69" t="str">
        <f t="shared" si="10"/>
        <v>O1P</v>
      </c>
      <c r="BO69" t="str">
        <f t="shared" si="10"/>
        <v>C1P</v>
      </c>
    </row>
    <row r="70" spans="33:67" x14ac:dyDescent="0.25">
      <c r="AG70">
        <v>38</v>
      </c>
      <c r="AH70">
        <v>15</v>
      </c>
      <c r="AI70">
        <v>39</v>
      </c>
      <c r="AJ70">
        <v>1</v>
      </c>
      <c r="AK70">
        <v>107.8</v>
      </c>
      <c r="AL70">
        <v>276.14400000000001</v>
      </c>
      <c r="AM70" t="str">
        <f t="shared" si="9"/>
        <v>HP</v>
      </c>
      <c r="AN70" t="str">
        <f t="shared" si="9"/>
        <v>C1P</v>
      </c>
      <c r="AO70" t="str">
        <f t="shared" si="9"/>
        <v>HP</v>
      </c>
      <c r="BA70">
        <v>26</v>
      </c>
      <c r="BB70">
        <v>6</v>
      </c>
      <c r="BC70">
        <v>5</v>
      </c>
      <c r="BD70">
        <v>4</v>
      </c>
      <c r="BE70">
        <v>3</v>
      </c>
      <c r="BF70">
        <v>1.59</v>
      </c>
      <c r="BG70">
        <v>4.7699999999999996</v>
      </c>
      <c r="BH70">
        <v>0</v>
      </c>
      <c r="BI70">
        <v>-6.36</v>
      </c>
      <c r="BJ70">
        <v>0</v>
      </c>
      <c r="BK70">
        <v>0</v>
      </c>
      <c r="BL70" t="str">
        <f t="shared" si="10"/>
        <v>HP</v>
      </c>
      <c r="BM70" t="str">
        <f t="shared" si="10"/>
        <v>C1P</v>
      </c>
      <c r="BN70" t="str">
        <f t="shared" si="10"/>
        <v>O1P</v>
      </c>
      <c r="BO70" t="str">
        <f t="shared" si="10"/>
        <v>C1P</v>
      </c>
    </row>
    <row r="71" spans="33:67" x14ac:dyDescent="0.25">
      <c r="AG71">
        <v>28</v>
      </c>
      <c r="AH71">
        <v>7</v>
      </c>
      <c r="AI71">
        <v>29</v>
      </c>
      <c r="AJ71">
        <v>1</v>
      </c>
      <c r="AK71">
        <v>107.8</v>
      </c>
      <c r="AL71">
        <v>276.14400000000001</v>
      </c>
      <c r="AM71" t="str">
        <f t="shared" si="9"/>
        <v>HP</v>
      </c>
      <c r="AN71" t="str">
        <f t="shared" si="9"/>
        <v>C1P</v>
      </c>
      <c r="AO71" t="str">
        <f t="shared" si="9"/>
        <v>HP</v>
      </c>
      <c r="BA71">
        <v>42</v>
      </c>
      <c r="BB71">
        <v>18</v>
      </c>
      <c r="BC71">
        <v>17</v>
      </c>
      <c r="BD71">
        <v>16</v>
      </c>
      <c r="BE71">
        <v>3</v>
      </c>
      <c r="BF71">
        <v>1.59</v>
      </c>
      <c r="BG71">
        <v>4.7699999999999996</v>
      </c>
      <c r="BH71">
        <v>0</v>
      </c>
      <c r="BI71">
        <v>-6.36</v>
      </c>
      <c r="BJ71">
        <v>0</v>
      </c>
      <c r="BK71">
        <v>0</v>
      </c>
      <c r="BL71" t="str">
        <f t="shared" si="10"/>
        <v>HP</v>
      </c>
      <c r="BM71" t="str">
        <f t="shared" si="10"/>
        <v>C1P</v>
      </c>
      <c r="BN71" t="str">
        <f t="shared" si="10"/>
        <v>O1P</v>
      </c>
      <c r="BO71" t="str">
        <f t="shared" si="10"/>
        <v>C1P</v>
      </c>
    </row>
    <row r="72" spans="33:67" x14ac:dyDescent="0.25">
      <c r="AG72">
        <v>5</v>
      </c>
      <c r="AH72">
        <v>4</v>
      </c>
      <c r="AI72">
        <v>25</v>
      </c>
      <c r="AJ72">
        <v>1</v>
      </c>
      <c r="AK72">
        <v>109.5</v>
      </c>
      <c r="AL72">
        <v>292.88</v>
      </c>
      <c r="AM72" t="str">
        <f t="shared" si="9"/>
        <v>O1P</v>
      </c>
      <c r="AN72" t="str">
        <f t="shared" si="9"/>
        <v>C1P</v>
      </c>
      <c r="AO72" t="str">
        <f t="shared" si="9"/>
        <v>HP</v>
      </c>
      <c r="BA72">
        <v>40</v>
      </c>
      <c r="BB72">
        <v>16</v>
      </c>
      <c r="BC72">
        <v>17</v>
      </c>
      <c r="BD72">
        <v>18</v>
      </c>
      <c r="BE72">
        <v>3</v>
      </c>
      <c r="BF72">
        <v>1.59</v>
      </c>
      <c r="BG72">
        <v>4.7699999999999996</v>
      </c>
      <c r="BH72">
        <v>0</v>
      </c>
      <c r="BI72">
        <v>-6.36</v>
      </c>
      <c r="BJ72">
        <v>0</v>
      </c>
      <c r="BK72">
        <v>0</v>
      </c>
      <c r="BL72" t="str">
        <f t="shared" si="10"/>
        <v>HP</v>
      </c>
      <c r="BM72" t="str">
        <f t="shared" si="10"/>
        <v>C1P</v>
      </c>
      <c r="BN72" t="str">
        <f t="shared" si="10"/>
        <v>O1P</v>
      </c>
      <c r="BO72" t="str">
        <f t="shared" si="10"/>
        <v>C1P</v>
      </c>
    </row>
    <row r="73" spans="33:67" x14ac:dyDescent="0.25">
      <c r="AG73">
        <v>10</v>
      </c>
      <c r="AH73">
        <v>9</v>
      </c>
      <c r="AI73">
        <v>31</v>
      </c>
      <c r="AJ73">
        <v>1</v>
      </c>
      <c r="AK73">
        <v>110.7</v>
      </c>
      <c r="AL73">
        <v>313.8</v>
      </c>
      <c r="AM73" t="str">
        <f t="shared" si="9"/>
        <v>C1P</v>
      </c>
      <c r="AN73" t="str">
        <f t="shared" si="9"/>
        <v>C1P</v>
      </c>
      <c r="AO73" t="str">
        <f t="shared" si="9"/>
        <v>HP</v>
      </c>
      <c r="BA73">
        <v>34</v>
      </c>
      <c r="BB73">
        <v>12</v>
      </c>
      <c r="BC73">
        <v>11</v>
      </c>
      <c r="BD73">
        <v>10</v>
      </c>
      <c r="BE73">
        <v>3</v>
      </c>
      <c r="BF73">
        <v>1.59</v>
      </c>
      <c r="BG73">
        <v>4.7699999999999996</v>
      </c>
      <c r="BH73">
        <v>0</v>
      </c>
      <c r="BI73">
        <v>-6.36</v>
      </c>
      <c r="BJ73">
        <v>0</v>
      </c>
      <c r="BK73">
        <v>0</v>
      </c>
      <c r="BL73" t="str">
        <f t="shared" si="10"/>
        <v>HP</v>
      </c>
      <c r="BM73" t="str">
        <f t="shared" si="10"/>
        <v>C1P</v>
      </c>
      <c r="BN73" t="str">
        <f t="shared" si="10"/>
        <v>O1P</v>
      </c>
      <c r="BO73" t="str">
        <f t="shared" si="10"/>
        <v>C1P</v>
      </c>
    </row>
    <row r="74" spans="33:67" x14ac:dyDescent="0.25">
      <c r="AG74">
        <v>34</v>
      </c>
      <c r="AH74">
        <v>12</v>
      </c>
      <c r="AI74">
        <v>35</v>
      </c>
      <c r="AJ74">
        <v>1</v>
      </c>
      <c r="AK74">
        <v>107.8</v>
      </c>
      <c r="AL74">
        <v>276.14400000000001</v>
      </c>
      <c r="AM74" t="str">
        <f t="shared" si="9"/>
        <v>HP</v>
      </c>
      <c r="AN74" t="str">
        <f t="shared" si="9"/>
        <v>C1P</v>
      </c>
      <c r="AO74" t="str">
        <f t="shared" si="9"/>
        <v>HP</v>
      </c>
      <c r="BA74">
        <v>22</v>
      </c>
      <c r="BB74">
        <v>3</v>
      </c>
      <c r="BC74">
        <v>2</v>
      </c>
      <c r="BD74">
        <v>1</v>
      </c>
      <c r="BE74">
        <v>3</v>
      </c>
      <c r="BF74">
        <v>1.59</v>
      </c>
      <c r="BG74">
        <v>4.7699999999999996</v>
      </c>
      <c r="BH74">
        <v>0</v>
      </c>
      <c r="BI74">
        <v>-6.36</v>
      </c>
      <c r="BJ74">
        <v>0</v>
      </c>
      <c r="BK74">
        <v>0</v>
      </c>
      <c r="BL74" t="str">
        <f t="shared" si="10"/>
        <v>HP</v>
      </c>
      <c r="BM74" t="str">
        <f t="shared" si="10"/>
        <v>C1P</v>
      </c>
      <c r="BN74" t="str">
        <f t="shared" si="10"/>
        <v>O1P</v>
      </c>
      <c r="BO74" t="str">
        <f t="shared" si="10"/>
        <v>C1P</v>
      </c>
    </row>
    <row r="75" spans="33:67" x14ac:dyDescent="0.25">
      <c r="AG75">
        <v>22</v>
      </c>
      <c r="AH75">
        <v>3</v>
      </c>
      <c r="AI75">
        <v>23</v>
      </c>
      <c r="AJ75">
        <v>1</v>
      </c>
      <c r="AK75">
        <v>107.8</v>
      </c>
      <c r="AL75">
        <v>276.14400000000001</v>
      </c>
      <c r="AM75" t="str">
        <f t="shared" si="9"/>
        <v>HP</v>
      </c>
      <c r="AN75" t="str">
        <f t="shared" si="9"/>
        <v>C1P</v>
      </c>
      <c r="AO75" t="str">
        <f t="shared" si="9"/>
        <v>HP</v>
      </c>
      <c r="BA75">
        <v>24</v>
      </c>
      <c r="BB75">
        <v>4</v>
      </c>
      <c r="BC75">
        <v>5</v>
      </c>
      <c r="BD75">
        <v>6</v>
      </c>
      <c r="BE75">
        <v>3</v>
      </c>
      <c r="BF75">
        <v>1.59</v>
      </c>
      <c r="BG75">
        <v>4.7699999999999996</v>
      </c>
      <c r="BH75">
        <v>0</v>
      </c>
      <c r="BI75">
        <v>-6.36</v>
      </c>
      <c r="BJ75">
        <v>0</v>
      </c>
      <c r="BK75">
        <v>0</v>
      </c>
      <c r="BL75" t="str">
        <f t="shared" si="10"/>
        <v>HP</v>
      </c>
      <c r="BM75" t="str">
        <f t="shared" si="10"/>
        <v>C1P</v>
      </c>
      <c r="BN75" t="str">
        <f t="shared" si="10"/>
        <v>O1P</v>
      </c>
      <c r="BO75" t="str">
        <f t="shared" si="10"/>
        <v>C1P</v>
      </c>
    </row>
    <row r="76" spans="33:67" x14ac:dyDescent="0.25">
      <c r="AG76">
        <v>19</v>
      </c>
      <c r="AH76">
        <v>1</v>
      </c>
      <c r="AI76">
        <v>21</v>
      </c>
      <c r="AJ76">
        <v>1</v>
      </c>
      <c r="AK76">
        <v>107.8</v>
      </c>
      <c r="AL76">
        <v>276.14400000000001</v>
      </c>
      <c r="AM76" t="str">
        <f t="shared" si="9"/>
        <v>HP</v>
      </c>
      <c r="AN76" t="str">
        <f t="shared" si="9"/>
        <v>C1P</v>
      </c>
      <c r="AO76" t="str">
        <f t="shared" si="9"/>
        <v>HP</v>
      </c>
      <c r="BA76">
        <v>31</v>
      </c>
      <c r="BB76">
        <v>9</v>
      </c>
      <c r="BC76">
        <v>8</v>
      </c>
      <c r="BD76">
        <v>7</v>
      </c>
      <c r="BE76">
        <v>3</v>
      </c>
      <c r="BF76">
        <v>1.59</v>
      </c>
      <c r="BG76">
        <v>4.7699999999999996</v>
      </c>
      <c r="BH76">
        <v>0</v>
      </c>
      <c r="BI76">
        <v>-6.36</v>
      </c>
      <c r="BJ76">
        <v>0</v>
      </c>
      <c r="BK76">
        <v>0</v>
      </c>
      <c r="BL76" t="str">
        <f t="shared" si="10"/>
        <v>HP</v>
      </c>
      <c r="BM76" t="str">
        <f t="shared" si="10"/>
        <v>C1P</v>
      </c>
      <c r="BN76" t="str">
        <f t="shared" si="10"/>
        <v>O1P</v>
      </c>
      <c r="BO76" t="str">
        <f t="shared" si="10"/>
        <v>C1P</v>
      </c>
    </row>
    <row r="77" spans="33:67" x14ac:dyDescent="0.25">
      <c r="AG77">
        <v>16</v>
      </c>
      <c r="AH77">
        <v>15</v>
      </c>
      <c r="AI77">
        <v>38</v>
      </c>
      <c r="AJ77">
        <v>1</v>
      </c>
      <c r="AK77">
        <v>110.7</v>
      </c>
      <c r="AL77">
        <v>313.8</v>
      </c>
      <c r="AM77" t="str">
        <f t="shared" si="9"/>
        <v>C1P</v>
      </c>
      <c r="AN77" t="str">
        <f t="shared" si="9"/>
        <v>C1P</v>
      </c>
      <c r="AO77" t="str">
        <f t="shared" si="9"/>
        <v>HP</v>
      </c>
      <c r="BA77">
        <v>38</v>
      </c>
      <c r="BB77">
        <v>15</v>
      </c>
      <c r="BC77">
        <v>14</v>
      </c>
      <c r="BD77">
        <v>13</v>
      </c>
      <c r="BE77">
        <v>3</v>
      </c>
      <c r="BF77">
        <v>1.59</v>
      </c>
      <c r="BG77">
        <v>4.7699999999999996</v>
      </c>
      <c r="BH77">
        <v>0</v>
      </c>
      <c r="BI77">
        <v>-6.36</v>
      </c>
      <c r="BJ77">
        <v>0</v>
      </c>
      <c r="BK77">
        <v>0</v>
      </c>
      <c r="BL77" t="str">
        <f t="shared" si="10"/>
        <v>HP</v>
      </c>
      <c r="BM77" t="str">
        <f t="shared" si="10"/>
        <v>C1P</v>
      </c>
      <c r="BN77" t="str">
        <f t="shared" si="10"/>
        <v>O1P</v>
      </c>
      <c r="BO77" t="str">
        <f t="shared" si="10"/>
        <v>C1P</v>
      </c>
    </row>
    <row r="78" spans="33:67" x14ac:dyDescent="0.25">
      <c r="AG78">
        <v>14</v>
      </c>
      <c r="AH78">
        <v>13</v>
      </c>
      <c r="AI78">
        <v>36</v>
      </c>
      <c r="AJ78">
        <v>1</v>
      </c>
      <c r="AK78">
        <v>109.5</v>
      </c>
      <c r="AL78">
        <v>292.88</v>
      </c>
      <c r="AM78" t="str">
        <f t="shared" si="9"/>
        <v>O1P</v>
      </c>
      <c r="AN78" t="str">
        <f t="shared" si="9"/>
        <v>C1P</v>
      </c>
      <c r="AO78" t="str">
        <f t="shared" si="9"/>
        <v>HP</v>
      </c>
      <c r="BA78">
        <v>32</v>
      </c>
      <c r="BB78">
        <v>10</v>
      </c>
      <c r="BC78">
        <v>11</v>
      </c>
      <c r="BD78">
        <v>12</v>
      </c>
      <c r="BE78">
        <v>3</v>
      </c>
      <c r="BF78">
        <v>1.59</v>
      </c>
      <c r="BG78">
        <v>4.7699999999999996</v>
      </c>
      <c r="BH78">
        <v>0</v>
      </c>
      <c r="BI78">
        <v>-6.36</v>
      </c>
      <c r="BJ78">
        <v>0</v>
      </c>
      <c r="BK78">
        <v>0</v>
      </c>
      <c r="BL78" t="str">
        <f t="shared" si="10"/>
        <v>HP</v>
      </c>
      <c r="BM78" t="str">
        <f t="shared" si="10"/>
        <v>C1P</v>
      </c>
      <c r="BN78" t="str">
        <f t="shared" si="10"/>
        <v>O1P</v>
      </c>
      <c r="BO78" t="str">
        <f t="shared" si="10"/>
        <v>C1P</v>
      </c>
    </row>
    <row r="79" spans="33:67" x14ac:dyDescent="0.25">
      <c r="AG79">
        <v>19</v>
      </c>
      <c r="AH79">
        <v>1</v>
      </c>
      <c r="AI79">
        <v>20</v>
      </c>
      <c r="AJ79">
        <v>1</v>
      </c>
      <c r="AK79">
        <v>107.8</v>
      </c>
      <c r="AL79">
        <v>276.14400000000001</v>
      </c>
      <c r="AM79" t="str">
        <f t="shared" si="9"/>
        <v>HP</v>
      </c>
      <c r="AN79" t="str">
        <f t="shared" si="9"/>
        <v>C1P</v>
      </c>
      <c r="AO79" t="str">
        <f t="shared" si="9"/>
        <v>HP</v>
      </c>
      <c r="BA79">
        <v>11</v>
      </c>
      <c r="BB79">
        <v>10</v>
      </c>
      <c r="BC79">
        <v>9</v>
      </c>
      <c r="BD79">
        <v>8</v>
      </c>
      <c r="BE79">
        <v>3</v>
      </c>
      <c r="BF79">
        <v>-1.151</v>
      </c>
      <c r="BG79">
        <v>1.151</v>
      </c>
      <c r="BH79">
        <v>0</v>
      </c>
      <c r="BI79">
        <v>0</v>
      </c>
      <c r="BJ79">
        <v>0</v>
      </c>
      <c r="BK79">
        <v>0</v>
      </c>
      <c r="BL79" t="str">
        <f t="shared" si="10"/>
        <v>O1P</v>
      </c>
      <c r="BM79" t="str">
        <f t="shared" si="10"/>
        <v>C1P</v>
      </c>
      <c r="BN79" t="str">
        <f t="shared" si="10"/>
        <v>C1P</v>
      </c>
      <c r="BO79" t="str">
        <f t="shared" si="10"/>
        <v>O1P</v>
      </c>
    </row>
    <row r="80" spans="33:67" x14ac:dyDescent="0.25">
      <c r="AG80">
        <v>36</v>
      </c>
      <c r="AH80">
        <v>13</v>
      </c>
      <c r="AI80">
        <v>37</v>
      </c>
      <c r="AJ80">
        <v>1</v>
      </c>
      <c r="AK80">
        <v>107.8</v>
      </c>
      <c r="AL80">
        <v>276.14400000000001</v>
      </c>
      <c r="AM80" t="str">
        <f t="shared" si="9"/>
        <v>HP</v>
      </c>
      <c r="AN80" t="str">
        <f t="shared" si="9"/>
        <v>C1P</v>
      </c>
      <c r="AO80" t="str">
        <f t="shared" si="9"/>
        <v>HP</v>
      </c>
      <c r="BA80">
        <v>8</v>
      </c>
      <c r="BB80">
        <v>7</v>
      </c>
      <c r="BC80">
        <v>6</v>
      </c>
      <c r="BD80">
        <v>5</v>
      </c>
      <c r="BE80">
        <v>3</v>
      </c>
      <c r="BF80">
        <v>-1.151</v>
      </c>
      <c r="BG80">
        <v>1.151</v>
      </c>
      <c r="BH80">
        <v>0</v>
      </c>
      <c r="BI80">
        <v>0</v>
      </c>
      <c r="BJ80">
        <v>0</v>
      </c>
      <c r="BK80">
        <v>0</v>
      </c>
      <c r="BL80" t="str">
        <f t="shared" si="10"/>
        <v>O1P</v>
      </c>
      <c r="BM80" t="str">
        <f t="shared" si="10"/>
        <v>C1P</v>
      </c>
      <c r="BN80" t="str">
        <f t="shared" si="10"/>
        <v>C1P</v>
      </c>
      <c r="BO80" t="str">
        <f t="shared" si="10"/>
        <v>O1P</v>
      </c>
    </row>
    <row r="81" spans="53:67" x14ac:dyDescent="0.25">
      <c r="BA81">
        <v>5</v>
      </c>
      <c r="BB81">
        <v>4</v>
      </c>
      <c r="BC81">
        <v>3</v>
      </c>
      <c r="BD81">
        <v>2</v>
      </c>
      <c r="BE81">
        <v>3</v>
      </c>
      <c r="BF81">
        <v>-1.151</v>
      </c>
      <c r="BG81">
        <v>1.151</v>
      </c>
      <c r="BH81">
        <v>0</v>
      </c>
      <c r="BI81">
        <v>0</v>
      </c>
      <c r="BJ81">
        <v>0</v>
      </c>
      <c r="BK81">
        <v>0</v>
      </c>
      <c r="BL81" t="str">
        <f t="shared" si="10"/>
        <v>O1P</v>
      </c>
      <c r="BM81" t="str">
        <f t="shared" si="10"/>
        <v>C1P</v>
      </c>
      <c r="BN81" t="str">
        <f t="shared" si="10"/>
        <v>C1P</v>
      </c>
      <c r="BO81" t="str">
        <f t="shared" si="10"/>
        <v>O1P</v>
      </c>
    </row>
    <row r="82" spans="53:67" x14ac:dyDescent="0.25">
      <c r="BA82">
        <v>14</v>
      </c>
      <c r="BB82">
        <v>13</v>
      </c>
      <c r="BC82">
        <v>12</v>
      </c>
      <c r="BD82">
        <v>11</v>
      </c>
      <c r="BE82">
        <v>3</v>
      </c>
      <c r="BF82">
        <v>-1.151</v>
      </c>
      <c r="BG82">
        <v>1.151</v>
      </c>
      <c r="BH82">
        <v>0</v>
      </c>
      <c r="BI82">
        <v>0</v>
      </c>
      <c r="BJ82">
        <v>0</v>
      </c>
      <c r="BK82">
        <v>0</v>
      </c>
      <c r="BL82" t="str">
        <f t="shared" si="10"/>
        <v>O1P</v>
      </c>
      <c r="BM82" t="str">
        <f t="shared" si="10"/>
        <v>C1P</v>
      </c>
      <c r="BN82" t="str">
        <f t="shared" si="10"/>
        <v>C1P</v>
      </c>
      <c r="BO82" t="str">
        <f t="shared" si="10"/>
        <v>O1P</v>
      </c>
    </row>
    <row r="83" spans="53:67" x14ac:dyDescent="0.25">
      <c r="BA83">
        <v>17</v>
      </c>
      <c r="BB83">
        <v>16</v>
      </c>
      <c r="BC83">
        <v>15</v>
      </c>
      <c r="BD83">
        <v>14</v>
      </c>
      <c r="BE83">
        <v>3</v>
      </c>
      <c r="BF83">
        <v>-1.151</v>
      </c>
      <c r="BG83">
        <v>1.151</v>
      </c>
      <c r="BH83">
        <v>0</v>
      </c>
      <c r="BI83">
        <v>0</v>
      </c>
      <c r="BJ83">
        <v>0</v>
      </c>
      <c r="BK83">
        <v>0</v>
      </c>
      <c r="BL83" t="str">
        <f t="shared" si="10"/>
        <v>O1P</v>
      </c>
      <c r="BM83" t="str">
        <f t="shared" si="10"/>
        <v>C1P</v>
      </c>
      <c r="BN83" t="str">
        <f t="shared" si="10"/>
        <v>C1P</v>
      </c>
      <c r="BO83" t="str">
        <f t="shared" si="10"/>
        <v>O1P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2D983-63DC-4E87-A53D-BBEC39CE6087}">
  <dimension ref="A1:BO12"/>
  <sheetViews>
    <sheetView workbookViewId="0">
      <selection activeCell="N3" sqref="N3"/>
    </sheetView>
  </sheetViews>
  <sheetFormatPr defaultRowHeight="15" x14ac:dyDescent="0.25"/>
  <cols>
    <col min="1" max="1" width="41.85546875" style="1" customWidth="1"/>
  </cols>
  <sheetData>
    <row r="1" spans="1:67" ht="75" x14ac:dyDescent="0.25">
      <c r="A1" s="1" t="s">
        <v>31</v>
      </c>
      <c r="B1" s="1" t="s">
        <v>27</v>
      </c>
      <c r="C1" s="1" t="s">
        <v>30</v>
      </c>
      <c r="D1" s="1"/>
      <c r="E1" s="1"/>
      <c r="F1" s="1"/>
      <c r="G1" s="1" t="s">
        <v>25</v>
      </c>
      <c r="H1" s="1"/>
      <c r="I1" s="1" t="s">
        <v>24</v>
      </c>
      <c r="J1" s="1"/>
      <c r="K1" s="1"/>
      <c r="L1" s="1"/>
      <c r="M1" s="1"/>
      <c r="N1" s="1" t="s">
        <v>29</v>
      </c>
      <c r="O1" s="1"/>
      <c r="P1" s="1"/>
      <c r="Q1" s="1" t="s">
        <v>33</v>
      </c>
      <c r="R1" s="1" t="s">
        <v>28</v>
      </c>
      <c r="S1" s="1"/>
      <c r="T1" s="1"/>
      <c r="U1" s="1"/>
      <c r="V1" s="1" t="s">
        <v>25</v>
      </c>
      <c r="W1" s="1"/>
      <c r="X1" s="1"/>
      <c r="Y1" s="1" t="s">
        <v>24</v>
      </c>
      <c r="Z1" s="1"/>
      <c r="AA1" s="1"/>
      <c r="AB1" s="1"/>
      <c r="AC1" s="1"/>
      <c r="AD1" s="1"/>
      <c r="AE1" s="1"/>
      <c r="AF1" s="1"/>
      <c r="AG1" s="1" t="s">
        <v>33</v>
      </c>
      <c r="AH1" s="1" t="s">
        <v>26</v>
      </c>
      <c r="AI1" s="1"/>
      <c r="AJ1" s="1"/>
      <c r="AK1" s="1"/>
      <c r="AL1" s="1"/>
      <c r="AM1" s="1" t="s">
        <v>25</v>
      </c>
      <c r="AN1" s="1"/>
      <c r="AO1" s="1"/>
      <c r="AP1" s="1"/>
      <c r="AQ1" s="1" t="s">
        <v>24</v>
      </c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</row>
    <row r="2" spans="1:67" ht="30" x14ac:dyDescent="0.25">
      <c r="A2" s="1" t="s">
        <v>23</v>
      </c>
      <c r="B2" t="s">
        <v>19</v>
      </c>
      <c r="C2" t="s">
        <v>21</v>
      </c>
      <c r="D2" t="s">
        <v>22</v>
      </c>
      <c r="E2" t="s">
        <v>19</v>
      </c>
      <c r="F2" t="s">
        <v>18</v>
      </c>
      <c r="G2" t="s">
        <v>17</v>
      </c>
      <c r="I2" t="s">
        <v>19</v>
      </c>
      <c r="J2" t="s">
        <v>21</v>
      </c>
      <c r="K2" t="s">
        <v>20</v>
      </c>
      <c r="L2" t="s">
        <v>19</v>
      </c>
      <c r="M2" t="s">
        <v>18</v>
      </c>
      <c r="N2" t="s">
        <v>17</v>
      </c>
      <c r="Q2" t="s">
        <v>15</v>
      </c>
      <c r="R2" t="s">
        <v>14</v>
      </c>
      <c r="S2" t="s">
        <v>42</v>
      </c>
      <c r="T2" t="s">
        <v>16</v>
      </c>
      <c r="U2" t="s">
        <v>11</v>
      </c>
      <c r="V2" t="s">
        <v>10</v>
      </c>
      <c r="W2" t="s">
        <v>9</v>
      </c>
      <c r="Y2" t="s">
        <v>15</v>
      </c>
      <c r="Z2" t="s">
        <v>14</v>
      </c>
      <c r="AA2" t="s">
        <v>42</v>
      </c>
      <c r="AB2" t="s">
        <v>16</v>
      </c>
      <c r="AC2" t="s">
        <v>11</v>
      </c>
      <c r="AD2" t="s">
        <v>10</v>
      </c>
      <c r="AE2" t="s">
        <v>9</v>
      </c>
      <c r="AG2" t="s">
        <v>15</v>
      </c>
      <c r="AH2" t="s">
        <v>14</v>
      </c>
      <c r="AI2" t="s">
        <v>13</v>
      </c>
      <c r="AJ2" t="s">
        <v>42</v>
      </c>
      <c r="AK2" t="s">
        <v>12</v>
      </c>
      <c r="AL2" t="s">
        <v>11</v>
      </c>
      <c r="AM2" t="s">
        <v>10</v>
      </c>
      <c r="AN2" t="s">
        <v>9</v>
      </c>
      <c r="AO2" t="s">
        <v>8</v>
      </c>
      <c r="AQ2" t="s">
        <v>15</v>
      </c>
      <c r="AR2" t="s">
        <v>14</v>
      </c>
      <c r="AS2" t="s">
        <v>13</v>
      </c>
      <c r="AT2" t="s">
        <v>42</v>
      </c>
      <c r="AU2" t="s">
        <v>12</v>
      </c>
      <c r="AV2" t="s">
        <v>11</v>
      </c>
      <c r="AW2" t="s">
        <v>10</v>
      </c>
      <c r="AX2" t="s">
        <v>9</v>
      </c>
      <c r="AY2" t="s">
        <v>8</v>
      </c>
    </row>
    <row r="3" spans="1:67" x14ac:dyDescent="0.25">
      <c r="A3" s="1" t="s">
        <v>7</v>
      </c>
      <c r="B3">
        <v>1</v>
      </c>
      <c r="C3">
        <v>0.21</v>
      </c>
      <c r="D3">
        <v>2.96</v>
      </c>
      <c r="E3">
        <v>1</v>
      </c>
      <c r="F3">
        <v>15.999000000000001</v>
      </c>
      <c r="G3" t="s">
        <v>58</v>
      </c>
      <c r="I3">
        <v>1</v>
      </c>
      <c r="J3">
        <v>0.21</v>
      </c>
      <c r="K3">
        <v>2.96</v>
      </c>
      <c r="L3">
        <v>1</v>
      </c>
      <c r="M3">
        <v>15.999000000000001</v>
      </c>
      <c r="N3" t="s">
        <v>58</v>
      </c>
      <c r="Q3">
        <v>2</v>
      </c>
      <c r="R3">
        <v>1</v>
      </c>
      <c r="S3">
        <v>1</v>
      </c>
      <c r="T3">
        <v>0.1229</v>
      </c>
      <c r="U3">
        <v>476976</v>
      </c>
      <c r="V3" t="str">
        <f>_xlfn.XLOOKUP(Q3,$B$3:$B$7,$G$3:$G$7)</f>
        <v>C1C</v>
      </c>
      <c r="W3" t="str">
        <f>_xlfn.XLOOKUP(R3,$B$3:$B$7,$G$3:$G$7)</f>
        <v>O1C</v>
      </c>
      <c r="Y3">
        <v>2</v>
      </c>
      <c r="Z3">
        <v>1</v>
      </c>
      <c r="AA3">
        <v>1</v>
      </c>
      <c r="AB3">
        <v>0.1229</v>
      </c>
      <c r="AC3">
        <v>476976</v>
      </c>
      <c r="AD3" t="str">
        <f>_xlfn.XLOOKUP(Y3,$B$3:$B$7,$G$3:$G$7)</f>
        <v>C1C</v>
      </c>
      <c r="AE3" t="str">
        <f>_xlfn.XLOOKUP(Z3,$B$3:$B$7,$G$3:$G$7)</f>
        <v>O1C</v>
      </c>
      <c r="AG3">
        <v>1</v>
      </c>
      <c r="AH3">
        <v>2</v>
      </c>
      <c r="AI3">
        <v>3</v>
      </c>
      <c r="AJ3">
        <v>1</v>
      </c>
      <c r="AK3">
        <v>121</v>
      </c>
      <c r="AL3">
        <v>669.44</v>
      </c>
      <c r="AM3" t="str">
        <f>_xlfn.XLOOKUP(AG3,$B$3:$B$7,$G$3:$G$7)</f>
        <v>O1C</v>
      </c>
      <c r="AN3" t="str">
        <f t="shared" ref="AN3:AO5" si="0">_xlfn.XLOOKUP(AH3,$B$3:$B$7,$G$3:$G$7)</f>
        <v>C1C</v>
      </c>
      <c r="AO3" t="str">
        <f t="shared" si="0"/>
        <v>O2C</v>
      </c>
      <c r="AQ3">
        <v>1</v>
      </c>
      <c r="AR3">
        <v>2</v>
      </c>
      <c r="AS3">
        <v>3</v>
      </c>
      <c r="AT3">
        <v>1</v>
      </c>
      <c r="AU3">
        <v>121</v>
      </c>
      <c r="AV3">
        <v>669.44</v>
      </c>
      <c r="AW3" t="str">
        <f>_xlfn.XLOOKUP(AQ3,$B$3:$B$7,$G$3:$G$7)</f>
        <v>O1C</v>
      </c>
      <c r="AX3" t="str">
        <f t="shared" ref="AX3:AX4" si="1">_xlfn.XLOOKUP(AR3,$B$3:$B$7,$G$3:$G$7)</f>
        <v>C1C</v>
      </c>
      <c r="AY3" t="str">
        <f t="shared" ref="AY3:AY4" si="2">_xlfn.XLOOKUP(AS3,$B$3:$B$7,$G$3:$G$7)</f>
        <v>O2C</v>
      </c>
    </row>
    <row r="4" spans="1:67" x14ac:dyDescent="0.25">
      <c r="A4" s="1" t="s">
        <v>6</v>
      </c>
      <c r="B4">
        <v>2</v>
      </c>
      <c r="C4">
        <v>7.0000000000000007E-2</v>
      </c>
      <c r="D4">
        <v>3.55</v>
      </c>
      <c r="E4">
        <v>2</v>
      </c>
      <c r="F4">
        <v>12.010999999999999</v>
      </c>
      <c r="G4" t="s">
        <v>59</v>
      </c>
      <c r="I4">
        <v>2</v>
      </c>
      <c r="J4">
        <v>7.0000000000000007E-2</v>
      </c>
      <c r="K4">
        <v>3.55</v>
      </c>
      <c r="L4">
        <v>2</v>
      </c>
      <c r="M4">
        <v>12.010999999999999</v>
      </c>
      <c r="N4" t="s">
        <v>59</v>
      </c>
      <c r="Q4">
        <v>3</v>
      </c>
      <c r="R4">
        <v>2</v>
      </c>
      <c r="S4">
        <v>1</v>
      </c>
      <c r="T4">
        <v>0.13639999999999999</v>
      </c>
      <c r="U4">
        <v>376560</v>
      </c>
      <c r="V4" t="str">
        <f t="shared" ref="V4" si="3">_xlfn.XLOOKUP(Q4,$B$3:$B$7,$G$3:$G$7)</f>
        <v>O2C</v>
      </c>
      <c r="W4" t="str">
        <f t="shared" ref="W4" si="4">_xlfn.XLOOKUP(R4,$B$3:$B$7,$G$3:$G$7)</f>
        <v>C1C</v>
      </c>
      <c r="Y4">
        <v>3</v>
      </c>
      <c r="Z4">
        <v>2</v>
      </c>
      <c r="AA4">
        <v>1</v>
      </c>
      <c r="AB4">
        <v>0.13639999999999999</v>
      </c>
      <c r="AC4">
        <v>376560</v>
      </c>
      <c r="AD4" t="str">
        <f t="shared" ref="AD4" si="5">_xlfn.XLOOKUP(Y4,$B$3:$B$7,$G$3:$G$7)</f>
        <v>O2C</v>
      </c>
      <c r="AE4" t="str">
        <f t="shared" ref="AE4" si="6">_xlfn.XLOOKUP(Z4,$B$3:$B$7,$G$3:$G$7)</f>
        <v>C1C</v>
      </c>
      <c r="AG4">
        <v>1</v>
      </c>
      <c r="AH4">
        <v>2</v>
      </c>
      <c r="AI4">
        <v>4</v>
      </c>
      <c r="AJ4">
        <v>1</v>
      </c>
      <c r="AK4">
        <v>121</v>
      </c>
      <c r="AL4">
        <v>669.44</v>
      </c>
      <c r="AM4" t="str">
        <f t="shared" ref="AM4:AM5" si="7">_xlfn.XLOOKUP(AG4,$B$3:$B$7,$G$3:$G$7)</f>
        <v>O1C</v>
      </c>
      <c r="AN4" t="str">
        <f t="shared" si="0"/>
        <v>C1C</v>
      </c>
      <c r="AO4" t="str">
        <f t="shared" si="0"/>
        <v>O2C</v>
      </c>
      <c r="AQ4">
        <v>3</v>
      </c>
      <c r="AR4">
        <v>2</v>
      </c>
      <c r="AS4">
        <v>4</v>
      </c>
      <c r="AT4">
        <v>1</v>
      </c>
      <c r="AU4">
        <v>118.18</v>
      </c>
      <c r="AV4">
        <v>584.923</v>
      </c>
      <c r="AW4" t="str">
        <f t="shared" ref="AW4" si="8">_xlfn.XLOOKUP(AQ4,$B$3:$B$7,$G$3:$G$7)</f>
        <v>O2C</v>
      </c>
      <c r="AX4" t="str">
        <f t="shared" si="1"/>
        <v>C1C</v>
      </c>
      <c r="AY4" t="str">
        <f t="shared" si="2"/>
        <v>O2C</v>
      </c>
    </row>
    <row r="5" spans="1:67" x14ac:dyDescent="0.25">
      <c r="A5" s="1" t="s">
        <v>5</v>
      </c>
      <c r="B5">
        <v>3</v>
      </c>
      <c r="C5">
        <v>0.17</v>
      </c>
      <c r="D5">
        <v>3.12</v>
      </c>
      <c r="E5">
        <v>3</v>
      </c>
      <c r="F5">
        <v>15.999000000000001</v>
      </c>
      <c r="G5" t="s">
        <v>60</v>
      </c>
      <c r="I5">
        <v>3</v>
      </c>
      <c r="J5">
        <v>0.17</v>
      </c>
      <c r="K5">
        <v>3.12</v>
      </c>
      <c r="L5">
        <v>3</v>
      </c>
      <c r="M5">
        <v>15.999000000000001</v>
      </c>
      <c r="N5" t="s">
        <v>60</v>
      </c>
      <c r="AG5">
        <v>3</v>
      </c>
      <c r="AH5">
        <v>2</v>
      </c>
      <c r="AI5">
        <v>4</v>
      </c>
      <c r="AJ5">
        <v>1</v>
      </c>
      <c r="AK5">
        <v>118.18</v>
      </c>
      <c r="AL5">
        <v>584.923</v>
      </c>
      <c r="AM5" t="str">
        <f t="shared" si="7"/>
        <v>O2C</v>
      </c>
      <c r="AN5" t="str">
        <f t="shared" si="0"/>
        <v>C1C</v>
      </c>
      <c r="AO5" t="str">
        <f t="shared" si="0"/>
        <v>O2C</v>
      </c>
    </row>
    <row r="6" spans="1:67" x14ac:dyDescent="0.25">
      <c r="A6" s="3" t="s">
        <v>4</v>
      </c>
      <c r="B6">
        <v>4</v>
      </c>
      <c r="C6">
        <v>0.17</v>
      </c>
      <c r="D6">
        <v>3.12</v>
      </c>
      <c r="E6">
        <v>4</v>
      </c>
      <c r="F6">
        <v>15.999000000000001</v>
      </c>
      <c r="G6" t="s">
        <v>60</v>
      </c>
    </row>
    <row r="7" spans="1:67" x14ac:dyDescent="0.25">
      <c r="A7" s="1" t="s">
        <v>3</v>
      </c>
    </row>
    <row r="8" spans="1:67" ht="60" x14ac:dyDescent="0.25">
      <c r="A8" s="1" t="s">
        <v>2</v>
      </c>
    </row>
    <row r="9" spans="1:67" x14ac:dyDescent="0.25">
      <c r="A9" s="1" t="s">
        <v>1</v>
      </c>
    </row>
    <row r="10" spans="1:67" x14ac:dyDescent="0.25">
      <c r="A10" s="1" t="s">
        <v>0</v>
      </c>
    </row>
    <row r="12" spans="1:67" x14ac:dyDescent="0.25">
      <c r="A12" s="4" t="s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06480-0B9B-4214-BF8C-092CC563F6F9}">
  <dimension ref="A1:CE73"/>
  <sheetViews>
    <sheetView topLeftCell="BC5" workbookViewId="0">
      <selection activeCell="P28" sqref="P28"/>
    </sheetView>
  </sheetViews>
  <sheetFormatPr defaultRowHeight="15" x14ac:dyDescent="0.25"/>
  <cols>
    <col min="1" max="1" width="38.85546875" customWidth="1"/>
    <col min="9" max="9" width="14.42578125" customWidth="1"/>
    <col min="17" max="17" width="11.28515625" customWidth="1"/>
    <col min="33" max="33" width="11.85546875" customWidth="1"/>
    <col min="54" max="54" width="11.28515625" customWidth="1"/>
  </cols>
  <sheetData>
    <row r="1" spans="1:83" s="1" customFormat="1" ht="75" x14ac:dyDescent="0.25">
      <c r="A1" s="1" t="s">
        <v>31</v>
      </c>
      <c r="B1" s="1" t="s">
        <v>27</v>
      </c>
      <c r="C1" s="1" t="s">
        <v>30</v>
      </c>
      <c r="G1" s="1" t="s">
        <v>25</v>
      </c>
      <c r="I1" s="1" t="s">
        <v>24</v>
      </c>
      <c r="N1" s="1" t="s">
        <v>29</v>
      </c>
      <c r="Q1" s="1" t="s">
        <v>33</v>
      </c>
      <c r="R1" s="1" t="s">
        <v>28</v>
      </c>
      <c r="V1" s="1" t="s">
        <v>25</v>
      </c>
      <c r="Y1" s="1" t="s">
        <v>24</v>
      </c>
      <c r="AG1" s="1" t="s">
        <v>33</v>
      </c>
      <c r="AH1" s="1" t="s">
        <v>26</v>
      </c>
      <c r="AM1" s="1" t="s">
        <v>25</v>
      </c>
      <c r="AQ1" s="1" t="s">
        <v>24</v>
      </c>
      <c r="BA1" s="1" t="s">
        <v>33</v>
      </c>
      <c r="BB1" s="1" t="s">
        <v>34</v>
      </c>
      <c r="BL1" s="1" t="s">
        <v>25</v>
      </c>
      <c r="BQ1" s="1" t="s">
        <v>24</v>
      </c>
    </row>
    <row r="2" spans="1:83" ht="30" x14ac:dyDescent="0.25">
      <c r="A2" s="1" t="s">
        <v>23</v>
      </c>
      <c r="B2" t="s">
        <v>19</v>
      </c>
      <c r="C2" t="s">
        <v>21</v>
      </c>
      <c r="D2" t="s">
        <v>22</v>
      </c>
      <c r="E2" t="s">
        <v>19</v>
      </c>
      <c r="F2" t="s">
        <v>18</v>
      </c>
      <c r="G2" t="s">
        <v>17</v>
      </c>
      <c r="I2" t="s">
        <v>19</v>
      </c>
      <c r="J2" t="s">
        <v>21</v>
      </c>
      <c r="K2" t="s">
        <v>20</v>
      </c>
      <c r="L2" t="s">
        <v>19</v>
      </c>
      <c r="M2" t="s">
        <v>18</v>
      </c>
      <c r="N2" t="s">
        <v>17</v>
      </c>
      <c r="Q2" t="s">
        <v>15</v>
      </c>
      <c r="R2" t="s">
        <v>14</v>
      </c>
      <c r="S2" t="s">
        <v>42</v>
      </c>
      <c r="T2" t="s">
        <v>16</v>
      </c>
      <c r="U2" t="s">
        <v>11</v>
      </c>
      <c r="V2" t="s">
        <v>10</v>
      </c>
      <c r="W2" t="s">
        <v>9</v>
      </c>
      <c r="Y2" t="s">
        <v>15</v>
      </c>
      <c r="Z2" t="s">
        <v>14</v>
      </c>
      <c r="AA2" t="s">
        <v>42</v>
      </c>
      <c r="AB2" t="s">
        <v>16</v>
      </c>
      <c r="AC2" t="s">
        <v>11</v>
      </c>
      <c r="AD2" t="s">
        <v>10</v>
      </c>
      <c r="AE2" t="s">
        <v>9</v>
      </c>
      <c r="AG2" t="s">
        <v>15</v>
      </c>
      <c r="AH2" t="s">
        <v>14</v>
      </c>
      <c r="AI2" t="s">
        <v>13</v>
      </c>
      <c r="AJ2" t="s">
        <v>42</v>
      </c>
      <c r="AK2" t="s">
        <v>12</v>
      </c>
      <c r="AL2" t="s">
        <v>11</v>
      </c>
      <c r="AM2" t="s">
        <v>10</v>
      </c>
      <c r="AN2" t="s">
        <v>9</v>
      </c>
      <c r="AO2" t="s">
        <v>8</v>
      </c>
      <c r="AQ2" t="s">
        <v>15</v>
      </c>
      <c r="AR2" t="s">
        <v>14</v>
      </c>
      <c r="AS2" t="s">
        <v>13</v>
      </c>
      <c r="AT2" t="s">
        <v>42</v>
      </c>
      <c r="AU2" t="s">
        <v>12</v>
      </c>
      <c r="AV2" t="s">
        <v>11</v>
      </c>
      <c r="AW2" t="s">
        <v>10</v>
      </c>
      <c r="AX2" t="s">
        <v>9</v>
      </c>
      <c r="AY2" t="s">
        <v>8</v>
      </c>
      <c r="BA2" t="s">
        <v>15</v>
      </c>
      <c r="BB2" t="s">
        <v>14</v>
      </c>
      <c r="BC2" t="s">
        <v>13</v>
      </c>
      <c r="BD2" t="s">
        <v>35</v>
      </c>
      <c r="BE2" t="s">
        <v>42</v>
      </c>
      <c r="BF2" t="s">
        <v>36</v>
      </c>
      <c r="BG2" t="s">
        <v>37</v>
      </c>
      <c r="BH2" t="s">
        <v>38</v>
      </c>
      <c r="BI2" t="s">
        <v>39</v>
      </c>
      <c r="BJ2" t="s">
        <v>40</v>
      </c>
      <c r="BK2" t="s">
        <v>41</v>
      </c>
      <c r="BL2" t="s">
        <v>10</v>
      </c>
      <c r="BM2" t="s">
        <v>9</v>
      </c>
      <c r="BN2" t="s">
        <v>8</v>
      </c>
      <c r="BO2" t="s">
        <v>43</v>
      </c>
      <c r="BQ2" t="s">
        <v>15</v>
      </c>
      <c r="BR2" t="s">
        <v>14</v>
      </c>
      <c r="BS2" t="s">
        <v>13</v>
      </c>
      <c r="BT2" t="s">
        <v>35</v>
      </c>
      <c r="BU2" t="s">
        <v>42</v>
      </c>
      <c r="BV2" t="s">
        <v>36</v>
      </c>
      <c r="BW2" t="s">
        <v>37</v>
      </c>
      <c r="BX2" t="s">
        <v>38</v>
      </c>
      <c r="BY2" t="s">
        <v>39</v>
      </c>
      <c r="BZ2" t="s">
        <v>40</v>
      </c>
      <c r="CA2" t="s">
        <v>41</v>
      </c>
      <c r="CB2" t="s">
        <v>10</v>
      </c>
      <c r="CC2" t="s">
        <v>9</v>
      </c>
      <c r="CD2" t="s">
        <v>8</v>
      </c>
      <c r="CE2" t="s">
        <v>43</v>
      </c>
    </row>
    <row r="3" spans="1:83" x14ac:dyDescent="0.25">
      <c r="A3" t="s">
        <v>7</v>
      </c>
      <c r="B3">
        <v>1</v>
      </c>
      <c r="C3">
        <v>0.03</v>
      </c>
      <c r="D3">
        <v>2.5</v>
      </c>
      <c r="E3">
        <v>1</v>
      </c>
      <c r="F3">
        <v>1.008</v>
      </c>
      <c r="G3" t="s">
        <v>49</v>
      </c>
      <c r="I3">
        <v>1</v>
      </c>
      <c r="J3">
        <v>0.03</v>
      </c>
      <c r="K3">
        <v>2.5</v>
      </c>
      <c r="L3">
        <v>1</v>
      </c>
      <c r="M3">
        <v>1.008</v>
      </c>
      <c r="N3" t="s">
        <v>49</v>
      </c>
      <c r="Q3">
        <v>2</v>
      </c>
      <c r="R3">
        <v>1</v>
      </c>
      <c r="S3">
        <v>1</v>
      </c>
      <c r="T3">
        <v>0.109</v>
      </c>
      <c r="U3">
        <v>284512</v>
      </c>
      <c r="V3" t="str">
        <f t="shared" ref="V3:V34" si="0">_xlfn.XLOOKUP(Q3,$B$3:$B$35,$G$3:$G$35)</f>
        <v>C1MT</v>
      </c>
      <c r="W3" t="str">
        <f t="shared" ref="W3:W34" si="1">_xlfn.XLOOKUP(R3,$B$3:$B$35,$G$3:$G$35)</f>
        <v>HMT</v>
      </c>
      <c r="Y3">
        <v>2</v>
      </c>
      <c r="Z3">
        <v>1</v>
      </c>
      <c r="AA3">
        <v>1</v>
      </c>
      <c r="AB3">
        <v>0.109</v>
      </c>
      <c r="AC3">
        <v>284512</v>
      </c>
      <c r="AD3" t="str">
        <f t="shared" ref="AD3:AD12" si="2">_xlfn.XLOOKUP(Y3,$B$3:$B$35,$G$3:$G$35)</f>
        <v>C1MT</v>
      </c>
      <c r="AE3" t="str">
        <f t="shared" ref="AE3:AE12" si="3">_xlfn.XLOOKUP(Z3,$B$3:$B$35,$G$3:$G$35)</f>
        <v>HMT</v>
      </c>
      <c r="AG3">
        <v>1</v>
      </c>
      <c r="AH3">
        <v>2</v>
      </c>
      <c r="AI3">
        <v>3</v>
      </c>
      <c r="AJ3">
        <v>1</v>
      </c>
      <c r="AK3">
        <v>110.7</v>
      </c>
      <c r="AL3">
        <v>313.8</v>
      </c>
      <c r="AM3" t="str">
        <f t="shared" ref="AM3:AM34" si="4">_xlfn.XLOOKUP(AG3,$B$3:$B$35,$G$3:$G$35)</f>
        <v>HMT</v>
      </c>
      <c r="AN3" t="str">
        <f t="shared" ref="AN3:AN34" si="5">_xlfn.XLOOKUP(AH3,$B$3:$B$35,$G$3:$G$35)</f>
        <v>C1MT</v>
      </c>
      <c r="AO3" t="str">
        <f t="shared" ref="AO3:AO34" si="6">_xlfn.XLOOKUP(AI3,$B$3:$B$35,$G$3:$G$35)</f>
        <v>C1MT</v>
      </c>
      <c r="AQ3">
        <v>18</v>
      </c>
      <c r="AR3">
        <v>21</v>
      </c>
      <c r="AS3">
        <v>24</v>
      </c>
      <c r="AT3">
        <v>1</v>
      </c>
      <c r="AU3">
        <v>104.36</v>
      </c>
      <c r="AV3">
        <v>658.31100000000004</v>
      </c>
      <c r="AW3" t="str">
        <f t="shared" ref="AW3:AW22" si="7">_xlfn.XLOOKUP(AQ3,$B$3:$B$35,$G$3:$G$35)</f>
        <v>C1MT</v>
      </c>
      <c r="AX3" t="str">
        <f t="shared" ref="AX3:AX22" si="8">_xlfn.XLOOKUP(AR3,$B$3:$B$35,$G$3:$G$35)</f>
        <v>SMT</v>
      </c>
      <c r="AY3" t="str">
        <f t="shared" ref="AY3:AY22" si="9">_xlfn.XLOOKUP(AS3,$B$3:$B$35,$G$3:$G$35)</f>
        <v>NMT</v>
      </c>
      <c r="BA3">
        <v>7</v>
      </c>
      <c r="BB3">
        <v>3</v>
      </c>
      <c r="BC3">
        <v>2</v>
      </c>
      <c r="BD3">
        <v>5</v>
      </c>
      <c r="BE3">
        <v>3</v>
      </c>
      <c r="BF3">
        <v>-0.20899999999999999</v>
      </c>
      <c r="BG3">
        <v>-0.628</v>
      </c>
      <c r="BH3">
        <v>0</v>
      </c>
      <c r="BI3">
        <v>0.83699999999999997</v>
      </c>
      <c r="BJ3">
        <v>0</v>
      </c>
      <c r="BK3">
        <v>0</v>
      </c>
      <c r="BL3" t="str">
        <f>_xlfn.XLOOKUP(BA3,$B$3:$B$35,$G$3:$G$35)</f>
        <v>C2MT</v>
      </c>
      <c r="BM3" t="str">
        <f t="shared" ref="BM3:BO18" si="10">_xlfn.XLOOKUP(BB3,$B$3:$B$35,$G$3:$G$35)</f>
        <v>C1MT</v>
      </c>
      <c r="BN3" t="str">
        <f t="shared" si="10"/>
        <v>C1MT</v>
      </c>
      <c r="BO3" t="str">
        <f t="shared" si="10"/>
        <v>HMT</v>
      </c>
      <c r="BQ3">
        <v>7</v>
      </c>
      <c r="BR3">
        <v>3</v>
      </c>
      <c r="BS3">
        <v>2</v>
      </c>
      <c r="BT3">
        <v>5</v>
      </c>
      <c r="BU3">
        <v>3</v>
      </c>
      <c r="BV3">
        <v>-0.20899999999999999</v>
      </c>
      <c r="BW3">
        <v>-0.628</v>
      </c>
      <c r="BX3">
        <v>0</v>
      </c>
      <c r="BY3">
        <v>0.83699999999999997</v>
      </c>
      <c r="BZ3">
        <v>0</v>
      </c>
      <c r="CA3">
        <v>0</v>
      </c>
      <c r="CB3" t="str">
        <f t="shared" ref="CB3:CB29" si="11">_xlfn.XLOOKUP(BQ3,$B$3:$B$35,$G$3:$G$35)</f>
        <v>C2MT</v>
      </c>
      <c r="CC3" t="str">
        <f t="shared" ref="CC3:CC29" si="12">_xlfn.XLOOKUP(BR3,$B$3:$B$35,$G$3:$G$35)</f>
        <v>C1MT</v>
      </c>
      <c r="CD3" t="str">
        <f t="shared" ref="CD3:CD29" si="13">_xlfn.XLOOKUP(BS3,$B$3:$B$35,$G$3:$G$35)</f>
        <v>C1MT</v>
      </c>
      <c r="CE3" t="str">
        <f t="shared" ref="CE3:CE29" si="14">_xlfn.XLOOKUP(BT3,$B$3:$B$35,$G$3:$G$35)</f>
        <v>HMT</v>
      </c>
    </row>
    <row r="4" spans="1:83" x14ac:dyDescent="0.25">
      <c r="A4" t="s">
        <v>6</v>
      </c>
      <c r="B4">
        <v>4</v>
      </c>
      <c r="C4">
        <v>0.03</v>
      </c>
      <c r="D4">
        <v>2.5</v>
      </c>
      <c r="E4">
        <v>4</v>
      </c>
      <c r="F4">
        <v>1.008</v>
      </c>
      <c r="G4" t="s">
        <v>49</v>
      </c>
      <c r="I4">
        <v>31</v>
      </c>
      <c r="J4">
        <v>0.06</v>
      </c>
      <c r="K4">
        <v>2.9</v>
      </c>
      <c r="L4">
        <v>31</v>
      </c>
      <c r="M4">
        <v>18.998000000000001</v>
      </c>
      <c r="N4" t="s">
        <v>50</v>
      </c>
      <c r="Q4">
        <v>3</v>
      </c>
      <c r="R4">
        <v>2</v>
      </c>
      <c r="S4">
        <v>1</v>
      </c>
      <c r="T4">
        <v>0.15290000000000001</v>
      </c>
      <c r="U4">
        <v>224262.39999999999</v>
      </c>
      <c r="V4" t="str">
        <f t="shared" si="0"/>
        <v>C1MT</v>
      </c>
      <c r="W4" t="str">
        <f t="shared" si="1"/>
        <v>C1MT</v>
      </c>
      <c r="Y4">
        <v>13</v>
      </c>
      <c r="Z4">
        <v>7</v>
      </c>
      <c r="AA4">
        <v>1</v>
      </c>
      <c r="AB4">
        <v>0.1229</v>
      </c>
      <c r="AC4">
        <v>476976</v>
      </c>
      <c r="AD4" t="str">
        <f t="shared" si="2"/>
        <v>O2MT</v>
      </c>
      <c r="AE4" t="str">
        <f t="shared" si="3"/>
        <v>C2MT</v>
      </c>
      <c r="AG4">
        <v>1</v>
      </c>
      <c r="AH4">
        <v>2</v>
      </c>
      <c r="AI4">
        <v>4</v>
      </c>
      <c r="AJ4">
        <v>1</v>
      </c>
      <c r="AK4">
        <v>107.8</v>
      </c>
      <c r="AL4">
        <v>276.14400000000001</v>
      </c>
      <c r="AM4" t="str">
        <f t="shared" si="4"/>
        <v>HMT</v>
      </c>
      <c r="AN4" t="str">
        <f t="shared" si="5"/>
        <v>C1MT</v>
      </c>
      <c r="AO4" t="str">
        <f t="shared" si="6"/>
        <v>HMT</v>
      </c>
      <c r="AQ4">
        <v>24</v>
      </c>
      <c r="AR4">
        <v>27</v>
      </c>
      <c r="AS4">
        <v>29</v>
      </c>
      <c r="AT4">
        <v>1</v>
      </c>
      <c r="AU4">
        <v>104.36</v>
      </c>
      <c r="AV4">
        <v>658.31100000000004</v>
      </c>
      <c r="AW4" t="str">
        <f t="shared" si="7"/>
        <v>NMT</v>
      </c>
      <c r="AX4" t="str">
        <f t="shared" si="8"/>
        <v>SMT</v>
      </c>
      <c r="AY4" t="str">
        <f t="shared" si="9"/>
        <v>O3MT</v>
      </c>
      <c r="BA4">
        <v>7</v>
      </c>
      <c r="BB4">
        <v>3</v>
      </c>
      <c r="BC4">
        <v>2</v>
      </c>
      <c r="BD4">
        <v>1</v>
      </c>
      <c r="BE4">
        <v>3</v>
      </c>
      <c r="BF4">
        <v>-0.20899999999999999</v>
      </c>
      <c r="BG4">
        <v>-0.628</v>
      </c>
      <c r="BH4">
        <v>0</v>
      </c>
      <c r="BI4">
        <v>0.83699999999999997</v>
      </c>
      <c r="BJ4">
        <v>0</v>
      </c>
      <c r="BK4">
        <v>0</v>
      </c>
      <c r="BL4" t="str">
        <f t="shared" ref="BL4:BO47" si="15">_xlfn.XLOOKUP(BA4,$B$3:$B$35,$G$3:$G$35)</f>
        <v>C2MT</v>
      </c>
      <c r="BM4" t="str">
        <f t="shared" si="10"/>
        <v>C1MT</v>
      </c>
      <c r="BN4" t="str">
        <f t="shared" si="10"/>
        <v>C1MT</v>
      </c>
      <c r="BO4" t="str">
        <f t="shared" si="10"/>
        <v>HMT</v>
      </c>
      <c r="BQ4">
        <v>28</v>
      </c>
      <c r="BR4">
        <v>27</v>
      </c>
      <c r="BS4">
        <v>24</v>
      </c>
      <c r="BT4">
        <v>21</v>
      </c>
      <c r="BU4">
        <v>3</v>
      </c>
      <c r="BV4">
        <v>-15.611000000000001</v>
      </c>
      <c r="BW4">
        <v>0.70299999999999996</v>
      </c>
      <c r="BX4">
        <v>20.506</v>
      </c>
      <c r="BY4">
        <v>-5.5979999999999999</v>
      </c>
      <c r="BZ4">
        <v>0</v>
      </c>
      <c r="CA4">
        <v>0</v>
      </c>
      <c r="CB4" t="str">
        <f t="shared" si="11"/>
        <v>C1MT</v>
      </c>
      <c r="CC4" t="str">
        <f t="shared" si="12"/>
        <v>SMT</v>
      </c>
      <c r="CD4" t="str">
        <f t="shared" si="13"/>
        <v>NMT</v>
      </c>
      <c r="CE4" t="str">
        <f t="shared" si="14"/>
        <v>SMT</v>
      </c>
    </row>
    <row r="5" spans="1:83" x14ac:dyDescent="0.25">
      <c r="A5" t="s">
        <v>5</v>
      </c>
      <c r="B5">
        <v>5</v>
      </c>
      <c r="C5">
        <v>0.03</v>
      </c>
      <c r="D5">
        <v>2.5</v>
      </c>
      <c r="E5">
        <v>5</v>
      </c>
      <c r="F5">
        <v>1.008</v>
      </c>
      <c r="G5" t="s">
        <v>49</v>
      </c>
      <c r="I5">
        <v>2</v>
      </c>
      <c r="J5">
        <v>6.6000000000000003E-2</v>
      </c>
      <c r="K5">
        <v>3.5</v>
      </c>
      <c r="L5">
        <v>2</v>
      </c>
      <c r="M5">
        <v>12.010999999999999</v>
      </c>
      <c r="N5" t="s">
        <v>52</v>
      </c>
      <c r="Q5">
        <v>4</v>
      </c>
      <c r="R5">
        <v>2</v>
      </c>
      <c r="S5">
        <v>1</v>
      </c>
      <c r="T5">
        <v>0.109</v>
      </c>
      <c r="U5">
        <v>284512</v>
      </c>
      <c r="V5" t="str">
        <f t="shared" si="0"/>
        <v>HMT</v>
      </c>
      <c r="W5" t="str">
        <f t="shared" si="1"/>
        <v>C1MT</v>
      </c>
      <c r="Y5">
        <v>12</v>
      </c>
      <c r="Z5">
        <v>7</v>
      </c>
      <c r="AA5">
        <v>1</v>
      </c>
      <c r="AB5">
        <v>0.13270000000000001</v>
      </c>
      <c r="AC5">
        <v>179075.20000000001</v>
      </c>
      <c r="AD5" t="str">
        <f t="shared" si="2"/>
        <v>O1MT</v>
      </c>
      <c r="AE5" t="str">
        <f t="shared" si="3"/>
        <v>C2MT</v>
      </c>
      <c r="AG5">
        <v>1</v>
      </c>
      <c r="AH5">
        <v>2</v>
      </c>
      <c r="AI5">
        <v>5</v>
      </c>
      <c r="AJ5">
        <v>1</v>
      </c>
      <c r="AK5">
        <v>107.8</v>
      </c>
      <c r="AL5">
        <v>276.14400000000001</v>
      </c>
      <c r="AM5" t="str">
        <f t="shared" si="4"/>
        <v>HMT</v>
      </c>
      <c r="AN5" t="str">
        <f t="shared" si="5"/>
        <v>C1MT</v>
      </c>
      <c r="AO5" t="str">
        <f t="shared" si="6"/>
        <v>HMT</v>
      </c>
      <c r="AQ5">
        <v>1</v>
      </c>
      <c r="AR5">
        <v>2</v>
      </c>
      <c r="AS5">
        <v>4</v>
      </c>
      <c r="AT5">
        <v>1</v>
      </c>
      <c r="AU5">
        <v>107.8</v>
      </c>
      <c r="AV5">
        <v>276.14400000000001</v>
      </c>
      <c r="AW5" t="str">
        <f t="shared" si="7"/>
        <v>HMT</v>
      </c>
      <c r="AX5" t="str">
        <f t="shared" si="8"/>
        <v>C1MT</v>
      </c>
      <c r="AY5" t="str">
        <f t="shared" si="9"/>
        <v>HMT</v>
      </c>
      <c r="BA5">
        <v>7</v>
      </c>
      <c r="BB5">
        <v>3</v>
      </c>
      <c r="BC5">
        <v>2</v>
      </c>
      <c r="BD5">
        <v>4</v>
      </c>
      <c r="BE5">
        <v>3</v>
      </c>
      <c r="BF5">
        <v>-0.20899999999999999</v>
      </c>
      <c r="BG5">
        <v>-0.628</v>
      </c>
      <c r="BH5">
        <v>0</v>
      </c>
      <c r="BI5">
        <v>0.83699999999999997</v>
      </c>
      <c r="BJ5">
        <v>0</v>
      </c>
      <c r="BK5">
        <v>0</v>
      </c>
      <c r="BL5" t="str">
        <f t="shared" si="15"/>
        <v>C2MT</v>
      </c>
      <c r="BM5" t="str">
        <f t="shared" si="10"/>
        <v>C1MT</v>
      </c>
      <c r="BN5" t="str">
        <f t="shared" si="10"/>
        <v>C1MT</v>
      </c>
      <c r="BO5" t="str">
        <f t="shared" si="10"/>
        <v>HMT</v>
      </c>
      <c r="BQ5">
        <v>6</v>
      </c>
      <c r="BR5">
        <v>3</v>
      </c>
      <c r="BS5">
        <v>2</v>
      </c>
      <c r="BT5">
        <v>1</v>
      </c>
      <c r="BU5">
        <v>3</v>
      </c>
      <c r="BV5">
        <v>0.628</v>
      </c>
      <c r="BW5">
        <v>1.883</v>
      </c>
      <c r="BX5">
        <v>0</v>
      </c>
      <c r="BY5">
        <v>-2.5099999999999998</v>
      </c>
      <c r="BZ5">
        <v>0</v>
      </c>
      <c r="CA5">
        <v>0</v>
      </c>
      <c r="CB5" t="str">
        <f t="shared" si="11"/>
        <v>C1MT</v>
      </c>
      <c r="CC5" t="str">
        <f t="shared" si="12"/>
        <v>C1MT</v>
      </c>
      <c r="CD5" t="str">
        <f t="shared" si="13"/>
        <v>C1MT</v>
      </c>
      <c r="CE5" t="str">
        <f t="shared" si="14"/>
        <v>HMT</v>
      </c>
    </row>
    <row r="6" spans="1:83" x14ac:dyDescent="0.25">
      <c r="A6" s="2" t="s">
        <v>4</v>
      </c>
      <c r="B6">
        <v>8</v>
      </c>
      <c r="C6">
        <v>0.03</v>
      </c>
      <c r="D6">
        <v>2.5</v>
      </c>
      <c r="E6">
        <v>8</v>
      </c>
      <c r="F6">
        <v>1.008</v>
      </c>
      <c r="G6" t="s">
        <v>49</v>
      </c>
      <c r="I6">
        <v>7</v>
      </c>
      <c r="J6">
        <v>7.0000000000000007E-2</v>
      </c>
      <c r="K6">
        <v>3.55</v>
      </c>
      <c r="L6">
        <v>7</v>
      </c>
      <c r="M6">
        <v>12.010999999999999</v>
      </c>
      <c r="N6" t="s">
        <v>53</v>
      </c>
      <c r="Q6">
        <v>5</v>
      </c>
      <c r="R6">
        <v>2</v>
      </c>
      <c r="S6">
        <v>1</v>
      </c>
      <c r="T6">
        <v>0.109</v>
      </c>
      <c r="U6">
        <v>284512</v>
      </c>
      <c r="V6" t="str">
        <f t="shared" si="0"/>
        <v>HMT</v>
      </c>
      <c r="W6" t="str">
        <f t="shared" si="1"/>
        <v>C1MT</v>
      </c>
      <c r="Y6">
        <v>31</v>
      </c>
      <c r="Z6">
        <v>28</v>
      </c>
      <c r="AA6">
        <v>1</v>
      </c>
      <c r="AB6">
        <v>0.13600000000000001</v>
      </c>
      <c r="AC6">
        <v>307105.59999999998</v>
      </c>
      <c r="AD6" t="str">
        <f t="shared" si="2"/>
        <v>FMT</v>
      </c>
      <c r="AE6" t="str">
        <f t="shared" si="3"/>
        <v>C1MT</v>
      </c>
      <c r="AG6">
        <v>2</v>
      </c>
      <c r="AH6">
        <v>3</v>
      </c>
      <c r="AI6">
        <v>6</v>
      </c>
      <c r="AJ6">
        <v>1</v>
      </c>
      <c r="AK6">
        <v>112.7</v>
      </c>
      <c r="AL6">
        <v>488.27300000000002</v>
      </c>
      <c r="AM6" t="str">
        <f t="shared" si="4"/>
        <v>C1MT</v>
      </c>
      <c r="AN6" t="str">
        <f t="shared" si="5"/>
        <v>C1MT</v>
      </c>
      <c r="AO6" t="str">
        <f t="shared" si="6"/>
        <v>C1MT</v>
      </c>
      <c r="AQ6">
        <v>15</v>
      </c>
      <c r="AR6">
        <v>18</v>
      </c>
      <c r="AS6">
        <v>21</v>
      </c>
      <c r="AT6">
        <v>1</v>
      </c>
      <c r="AU6">
        <v>108.6</v>
      </c>
      <c r="AV6">
        <v>418.4</v>
      </c>
      <c r="AW6" t="str">
        <f t="shared" si="7"/>
        <v>C1MT</v>
      </c>
      <c r="AX6" t="str">
        <f t="shared" si="8"/>
        <v>C1MT</v>
      </c>
      <c r="AY6" t="str">
        <f t="shared" si="9"/>
        <v>SMT</v>
      </c>
      <c r="BA6">
        <v>28</v>
      </c>
      <c r="BB6">
        <v>27</v>
      </c>
      <c r="BC6">
        <v>24</v>
      </c>
      <c r="BD6">
        <v>21</v>
      </c>
      <c r="BE6">
        <v>3</v>
      </c>
      <c r="BF6">
        <v>-15.611000000000001</v>
      </c>
      <c r="BG6">
        <v>0.70299999999999996</v>
      </c>
      <c r="BH6">
        <v>20.506</v>
      </c>
      <c r="BI6">
        <v>-5.5979999999999999</v>
      </c>
      <c r="BJ6">
        <v>0</v>
      </c>
      <c r="BK6">
        <v>0</v>
      </c>
      <c r="BL6" t="str">
        <f t="shared" si="15"/>
        <v>C1MT</v>
      </c>
      <c r="BM6" t="str">
        <f t="shared" si="10"/>
        <v>SMT</v>
      </c>
      <c r="BN6" t="str">
        <f t="shared" si="10"/>
        <v>NMT</v>
      </c>
      <c r="BO6" t="str">
        <f t="shared" si="10"/>
        <v>SMT</v>
      </c>
      <c r="BQ6">
        <v>18</v>
      </c>
      <c r="BR6">
        <v>15</v>
      </c>
      <c r="BS6">
        <v>14</v>
      </c>
      <c r="BT6">
        <v>12</v>
      </c>
      <c r="BU6">
        <v>3</v>
      </c>
      <c r="BV6">
        <v>2.8740000000000001</v>
      </c>
      <c r="BW6">
        <v>0.58199999999999996</v>
      </c>
      <c r="BX6">
        <v>2.0920000000000001</v>
      </c>
      <c r="BY6">
        <v>-5.548</v>
      </c>
      <c r="BZ6">
        <v>0</v>
      </c>
      <c r="CA6">
        <v>0</v>
      </c>
      <c r="CB6" t="str">
        <f t="shared" si="11"/>
        <v>C1MT</v>
      </c>
      <c r="CC6" t="str">
        <f t="shared" si="12"/>
        <v>C1MT</v>
      </c>
      <c r="CD6" t="str">
        <f t="shared" si="13"/>
        <v>C1MT</v>
      </c>
      <c r="CE6" t="str">
        <f t="shared" si="14"/>
        <v>O1MT</v>
      </c>
    </row>
    <row r="7" spans="1:83" x14ac:dyDescent="0.25">
      <c r="A7" t="s">
        <v>3</v>
      </c>
      <c r="B7">
        <v>9</v>
      </c>
      <c r="C7">
        <v>0.03</v>
      </c>
      <c r="D7">
        <v>2.5</v>
      </c>
      <c r="E7">
        <v>9</v>
      </c>
      <c r="F7">
        <v>1.008</v>
      </c>
      <c r="G7" t="s">
        <v>49</v>
      </c>
      <c r="I7">
        <v>12</v>
      </c>
      <c r="J7">
        <v>0.14000000000000001</v>
      </c>
      <c r="K7">
        <v>2.9</v>
      </c>
      <c r="L7">
        <v>12</v>
      </c>
      <c r="M7">
        <v>15.999000000000001</v>
      </c>
      <c r="N7" t="s">
        <v>56</v>
      </c>
      <c r="Q7">
        <v>6</v>
      </c>
      <c r="R7">
        <v>3</v>
      </c>
      <c r="S7">
        <v>1</v>
      </c>
      <c r="T7">
        <v>0.15290000000000001</v>
      </c>
      <c r="U7">
        <v>224262.39999999999</v>
      </c>
      <c r="V7" t="str">
        <f t="shared" si="0"/>
        <v>C1MT</v>
      </c>
      <c r="W7" t="str">
        <f t="shared" si="1"/>
        <v>C1MT</v>
      </c>
      <c r="Y7">
        <v>14</v>
      </c>
      <c r="Z7">
        <v>12</v>
      </c>
      <c r="AA7">
        <v>1</v>
      </c>
      <c r="AB7">
        <v>0.14099999999999999</v>
      </c>
      <c r="AC7">
        <v>267776</v>
      </c>
      <c r="AD7" t="str">
        <f t="shared" si="2"/>
        <v>C1MT</v>
      </c>
      <c r="AE7" t="str">
        <f t="shared" si="3"/>
        <v>O1MT</v>
      </c>
      <c r="AG7">
        <v>2</v>
      </c>
      <c r="AH7">
        <v>3</v>
      </c>
      <c r="AI7">
        <v>7</v>
      </c>
      <c r="AJ7">
        <v>1</v>
      </c>
      <c r="AK7">
        <v>111.1</v>
      </c>
      <c r="AL7">
        <v>527.18399999999997</v>
      </c>
      <c r="AM7" t="str">
        <f t="shared" si="4"/>
        <v>C1MT</v>
      </c>
      <c r="AN7" t="str">
        <f t="shared" si="5"/>
        <v>C1MT</v>
      </c>
      <c r="AO7" t="str">
        <f t="shared" si="6"/>
        <v>C2MT</v>
      </c>
      <c r="AQ7">
        <v>18</v>
      </c>
      <c r="AR7">
        <v>21</v>
      </c>
      <c r="AS7">
        <v>25</v>
      </c>
      <c r="AT7">
        <v>1</v>
      </c>
      <c r="AU7">
        <v>108.9</v>
      </c>
      <c r="AV7">
        <v>619.23199999999997</v>
      </c>
      <c r="AW7" t="str">
        <f t="shared" si="7"/>
        <v>C1MT</v>
      </c>
      <c r="AX7" t="str">
        <f t="shared" si="8"/>
        <v>SMT</v>
      </c>
      <c r="AY7" t="str">
        <f t="shared" si="9"/>
        <v>O3MT</v>
      </c>
      <c r="BA7">
        <v>6</v>
      </c>
      <c r="BB7">
        <v>3</v>
      </c>
      <c r="BC7">
        <v>2</v>
      </c>
      <c r="BD7">
        <v>1</v>
      </c>
      <c r="BE7">
        <v>3</v>
      </c>
      <c r="BF7">
        <v>0.628</v>
      </c>
      <c r="BG7">
        <v>1.883</v>
      </c>
      <c r="BH7">
        <v>0</v>
      </c>
      <c r="BI7">
        <v>-2.5099999999999998</v>
      </c>
      <c r="BJ7">
        <v>0</v>
      </c>
      <c r="BK7">
        <v>0</v>
      </c>
      <c r="BL7" t="str">
        <f t="shared" si="15"/>
        <v>C1MT</v>
      </c>
      <c r="BM7" t="str">
        <f t="shared" si="10"/>
        <v>C1MT</v>
      </c>
      <c r="BN7" t="str">
        <f t="shared" si="10"/>
        <v>C1MT</v>
      </c>
      <c r="BO7" t="str">
        <f t="shared" si="10"/>
        <v>HMT</v>
      </c>
      <c r="BQ7">
        <v>15</v>
      </c>
      <c r="BR7">
        <v>14</v>
      </c>
      <c r="BS7">
        <v>12</v>
      </c>
      <c r="BT7">
        <v>7</v>
      </c>
      <c r="BU7">
        <v>3</v>
      </c>
      <c r="BV7">
        <v>-2.1970000000000001</v>
      </c>
      <c r="BW7">
        <v>5.2009999999999996</v>
      </c>
      <c r="BX7">
        <v>0.52700000000000002</v>
      </c>
      <c r="BY7">
        <v>-3.5310000000000001</v>
      </c>
      <c r="BZ7">
        <v>0</v>
      </c>
      <c r="CA7">
        <v>0</v>
      </c>
      <c r="CB7" t="str">
        <f t="shared" si="11"/>
        <v>C1MT</v>
      </c>
      <c r="CC7" t="str">
        <f t="shared" si="12"/>
        <v>C1MT</v>
      </c>
      <c r="CD7" t="str">
        <f t="shared" si="13"/>
        <v>O1MT</v>
      </c>
      <c r="CE7" t="str">
        <f t="shared" si="14"/>
        <v>C2MT</v>
      </c>
    </row>
    <row r="8" spans="1:83" ht="60" x14ac:dyDescent="0.25">
      <c r="A8" s="1" t="s">
        <v>2</v>
      </c>
      <c r="B8">
        <v>10</v>
      </c>
      <c r="C8">
        <v>0.03</v>
      </c>
      <c r="D8">
        <v>2.5</v>
      </c>
      <c r="E8">
        <v>10</v>
      </c>
      <c r="F8">
        <v>1.008</v>
      </c>
      <c r="G8" t="s">
        <v>49</v>
      </c>
      <c r="I8">
        <v>24</v>
      </c>
      <c r="J8">
        <v>0.17</v>
      </c>
      <c r="K8">
        <v>3.25</v>
      </c>
      <c r="L8">
        <v>24</v>
      </c>
      <c r="M8">
        <v>14.007</v>
      </c>
      <c r="N8" t="s">
        <v>54</v>
      </c>
      <c r="Q8">
        <v>7</v>
      </c>
      <c r="R8">
        <v>3</v>
      </c>
      <c r="S8">
        <v>1</v>
      </c>
      <c r="T8">
        <v>0.1522</v>
      </c>
      <c r="U8">
        <v>265265.59999999998</v>
      </c>
      <c r="V8" t="str">
        <f t="shared" si="0"/>
        <v>C2MT</v>
      </c>
      <c r="W8" t="str">
        <f t="shared" si="1"/>
        <v>C1MT</v>
      </c>
      <c r="Y8">
        <v>25</v>
      </c>
      <c r="Z8">
        <v>21</v>
      </c>
      <c r="AA8">
        <v>1</v>
      </c>
      <c r="AB8">
        <v>0.14399999999999999</v>
      </c>
      <c r="AC8">
        <v>585760</v>
      </c>
      <c r="AD8" t="str">
        <f t="shared" si="2"/>
        <v>O3MT</v>
      </c>
      <c r="AE8" t="str">
        <f t="shared" si="3"/>
        <v>SMT</v>
      </c>
      <c r="AG8">
        <v>2</v>
      </c>
      <c r="AH8">
        <v>3</v>
      </c>
      <c r="AI8">
        <v>8</v>
      </c>
      <c r="AJ8">
        <v>1</v>
      </c>
      <c r="AK8">
        <v>110.7</v>
      </c>
      <c r="AL8">
        <v>313.8</v>
      </c>
      <c r="AM8" t="str">
        <f t="shared" si="4"/>
        <v>C1MT</v>
      </c>
      <c r="AN8" t="str">
        <f t="shared" si="5"/>
        <v>C1MT</v>
      </c>
      <c r="AO8" t="str">
        <f t="shared" si="6"/>
        <v>HMT</v>
      </c>
      <c r="AQ8">
        <v>32</v>
      </c>
      <c r="AR8">
        <v>28</v>
      </c>
      <c r="AS8">
        <v>33</v>
      </c>
      <c r="AT8">
        <v>1</v>
      </c>
      <c r="AU8">
        <v>109.1</v>
      </c>
      <c r="AV8">
        <v>644.33600000000001</v>
      </c>
      <c r="AW8" t="str">
        <f t="shared" si="7"/>
        <v>FMT</v>
      </c>
      <c r="AX8" t="str">
        <f t="shared" si="8"/>
        <v>C1MT</v>
      </c>
      <c r="AY8" t="str">
        <f t="shared" si="9"/>
        <v>FMT</v>
      </c>
      <c r="BA8">
        <v>6</v>
      </c>
      <c r="BB8">
        <v>3</v>
      </c>
      <c r="BC8">
        <v>2</v>
      </c>
      <c r="BD8">
        <v>5</v>
      </c>
      <c r="BE8">
        <v>3</v>
      </c>
      <c r="BF8">
        <v>0.628</v>
      </c>
      <c r="BG8">
        <v>1.883</v>
      </c>
      <c r="BH8">
        <v>0</v>
      </c>
      <c r="BI8">
        <v>-2.5099999999999998</v>
      </c>
      <c r="BJ8">
        <v>0</v>
      </c>
      <c r="BK8">
        <v>0</v>
      </c>
      <c r="BL8" t="str">
        <f t="shared" si="15"/>
        <v>C1MT</v>
      </c>
      <c r="BM8" t="str">
        <f t="shared" si="10"/>
        <v>C1MT</v>
      </c>
      <c r="BN8" t="str">
        <f t="shared" si="10"/>
        <v>C1MT</v>
      </c>
      <c r="BO8" t="str">
        <f t="shared" si="10"/>
        <v>HMT</v>
      </c>
      <c r="BQ8">
        <v>14</v>
      </c>
      <c r="BR8">
        <v>12</v>
      </c>
      <c r="BS8">
        <v>7</v>
      </c>
      <c r="BT8">
        <v>3</v>
      </c>
      <c r="BU8">
        <v>3</v>
      </c>
      <c r="BV8">
        <v>31.206</v>
      </c>
      <c r="BW8">
        <v>-9.7680000000000007</v>
      </c>
      <c r="BX8">
        <v>-21.439</v>
      </c>
      <c r="BY8">
        <v>0</v>
      </c>
      <c r="BZ8">
        <v>0</v>
      </c>
      <c r="CA8">
        <v>0</v>
      </c>
      <c r="CB8" t="str">
        <f t="shared" si="11"/>
        <v>C1MT</v>
      </c>
      <c r="CC8" t="str">
        <f t="shared" si="12"/>
        <v>O1MT</v>
      </c>
      <c r="CD8" t="str">
        <f t="shared" si="13"/>
        <v>C2MT</v>
      </c>
      <c r="CE8" t="str">
        <f t="shared" si="14"/>
        <v>C1MT</v>
      </c>
    </row>
    <row r="9" spans="1:83" x14ac:dyDescent="0.25">
      <c r="A9" t="s">
        <v>1</v>
      </c>
      <c r="B9">
        <v>11</v>
      </c>
      <c r="C9">
        <v>0.03</v>
      </c>
      <c r="D9">
        <v>2.5</v>
      </c>
      <c r="E9">
        <v>11</v>
      </c>
      <c r="F9">
        <v>1.008</v>
      </c>
      <c r="G9" t="s">
        <v>49</v>
      </c>
      <c r="I9">
        <v>25</v>
      </c>
      <c r="J9">
        <v>0.17</v>
      </c>
      <c r="K9">
        <v>2.96</v>
      </c>
      <c r="L9">
        <v>25</v>
      </c>
      <c r="M9">
        <v>15.999000000000001</v>
      </c>
      <c r="N9" t="s">
        <v>55</v>
      </c>
      <c r="Q9">
        <v>8</v>
      </c>
      <c r="R9">
        <v>3</v>
      </c>
      <c r="S9">
        <v>1</v>
      </c>
      <c r="T9">
        <v>0.109</v>
      </c>
      <c r="U9">
        <v>284512</v>
      </c>
      <c r="V9" t="str">
        <f t="shared" si="0"/>
        <v>HMT</v>
      </c>
      <c r="W9" t="str">
        <f t="shared" si="1"/>
        <v>C1MT</v>
      </c>
      <c r="Y9">
        <v>7</v>
      </c>
      <c r="Z9">
        <v>3</v>
      </c>
      <c r="AA9">
        <v>1</v>
      </c>
      <c r="AB9">
        <v>0.1522</v>
      </c>
      <c r="AC9">
        <v>265265.59999999998</v>
      </c>
      <c r="AD9" t="str">
        <f t="shared" si="2"/>
        <v>C2MT</v>
      </c>
      <c r="AE9" t="str">
        <f t="shared" si="3"/>
        <v>C1MT</v>
      </c>
      <c r="AG9">
        <v>3</v>
      </c>
      <c r="AH9">
        <v>6</v>
      </c>
      <c r="AI9">
        <v>9</v>
      </c>
      <c r="AJ9">
        <v>1</v>
      </c>
      <c r="AK9">
        <v>110.7</v>
      </c>
      <c r="AL9">
        <v>313.8</v>
      </c>
      <c r="AM9" t="str">
        <f t="shared" si="4"/>
        <v>C1MT</v>
      </c>
      <c r="AN9" t="str">
        <f t="shared" si="5"/>
        <v>C1MT</v>
      </c>
      <c r="AO9" t="str">
        <f t="shared" si="6"/>
        <v>HMT</v>
      </c>
      <c r="AQ9">
        <v>12</v>
      </c>
      <c r="AR9">
        <v>14</v>
      </c>
      <c r="AS9">
        <v>15</v>
      </c>
      <c r="AT9">
        <v>1</v>
      </c>
      <c r="AU9">
        <v>109.5</v>
      </c>
      <c r="AV9">
        <v>418.4</v>
      </c>
      <c r="AW9" t="str">
        <f t="shared" si="7"/>
        <v>O1MT</v>
      </c>
      <c r="AX9" t="str">
        <f t="shared" si="8"/>
        <v>C1MT</v>
      </c>
      <c r="AY9" t="str">
        <f t="shared" si="9"/>
        <v>C1MT</v>
      </c>
      <c r="BA9">
        <v>18</v>
      </c>
      <c r="BB9">
        <v>15</v>
      </c>
      <c r="BC9">
        <v>14</v>
      </c>
      <c r="BD9">
        <v>17</v>
      </c>
      <c r="BE9">
        <v>3</v>
      </c>
      <c r="BF9">
        <v>0.628</v>
      </c>
      <c r="BG9">
        <v>1.883</v>
      </c>
      <c r="BH9">
        <v>0</v>
      </c>
      <c r="BI9">
        <v>-2.5099999999999998</v>
      </c>
      <c r="BJ9">
        <v>0</v>
      </c>
      <c r="BK9">
        <v>0</v>
      </c>
      <c r="BL9" t="str">
        <f t="shared" si="15"/>
        <v>C1MT</v>
      </c>
      <c r="BM9" t="str">
        <f t="shared" si="10"/>
        <v>C1MT</v>
      </c>
      <c r="BN9" t="str">
        <f t="shared" si="10"/>
        <v>C1MT</v>
      </c>
      <c r="BO9" t="str">
        <f t="shared" si="10"/>
        <v>HMT</v>
      </c>
      <c r="BQ9">
        <v>14</v>
      </c>
      <c r="BR9">
        <v>12</v>
      </c>
      <c r="BS9">
        <v>7</v>
      </c>
      <c r="BT9">
        <v>13</v>
      </c>
      <c r="BU9">
        <v>3</v>
      </c>
      <c r="BV9">
        <v>21.439</v>
      </c>
      <c r="BW9">
        <v>0</v>
      </c>
      <c r="BX9">
        <v>-21.439</v>
      </c>
      <c r="BY9">
        <v>0</v>
      </c>
      <c r="BZ9">
        <v>0</v>
      </c>
      <c r="CA9">
        <v>0</v>
      </c>
      <c r="CB9" t="str">
        <f t="shared" si="11"/>
        <v>C1MT</v>
      </c>
      <c r="CC9" t="str">
        <f t="shared" si="12"/>
        <v>O1MT</v>
      </c>
      <c r="CD9" t="str">
        <f t="shared" si="13"/>
        <v>C2MT</v>
      </c>
      <c r="CE9" t="str">
        <f t="shared" si="14"/>
        <v>O2MT</v>
      </c>
    </row>
    <row r="10" spans="1:83" x14ac:dyDescent="0.25">
      <c r="A10" t="s">
        <v>0</v>
      </c>
      <c r="B10">
        <v>16</v>
      </c>
      <c r="C10">
        <v>0.03</v>
      </c>
      <c r="D10">
        <v>2.5</v>
      </c>
      <c r="E10">
        <v>16</v>
      </c>
      <c r="F10">
        <v>1.008</v>
      </c>
      <c r="G10" t="s">
        <v>49</v>
      </c>
      <c r="I10">
        <v>13</v>
      </c>
      <c r="J10">
        <v>0.21</v>
      </c>
      <c r="K10">
        <v>2.96</v>
      </c>
      <c r="L10">
        <v>13</v>
      </c>
      <c r="M10">
        <v>15.999000000000001</v>
      </c>
      <c r="N10" t="s">
        <v>57</v>
      </c>
      <c r="Q10">
        <v>9</v>
      </c>
      <c r="R10">
        <v>6</v>
      </c>
      <c r="S10">
        <v>1</v>
      </c>
      <c r="T10">
        <v>0.109</v>
      </c>
      <c r="U10">
        <v>284512</v>
      </c>
      <c r="V10" t="str">
        <f t="shared" si="0"/>
        <v>HMT</v>
      </c>
      <c r="W10" t="str">
        <f t="shared" si="1"/>
        <v>C1MT</v>
      </c>
      <c r="Y10">
        <v>3</v>
      </c>
      <c r="Z10">
        <v>2</v>
      </c>
      <c r="AA10">
        <v>1</v>
      </c>
      <c r="AB10">
        <v>0.15290000000000001</v>
      </c>
      <c r="AC10">
        <v>224262.39999999999</v>
      </c>
      <c r="AD10" t="str">
        <f t="shared" si="2"/>
        <v>C1MT</v>
      </c>
      <c r="AE10" t="str">
        <f t="shared" si="3"/>
        <v>C1MT</v>
      </c>
      <c r="AG10">
        <v>3</v>
      </c>
      <c r="AH10">
        <v>6</v>
      </c>
      <c r="AI10">
        <v>10</v>
      </c>
      <c r="AJ10">
        <v>1</v>
      </c>
      <c r="AK10">
        <v>110.7</v>
      </c>
      <c r="AL10">
        <v>313.8</v>
      </c>
      <c r="AM10" t="str">
        <f t="shared" si="4"/>
        <v>C1MT</v>
      </c>
      <c r="AN10" t="str">
        <f t="shared" si="5"/>
        <v>C1MT</v>
      </c>
      <c r="AO10" t="str">
        <f t="shared" si="6"/>
        <v>HMT</v>
      </c>
      <c r="AQ10">
        <v>12</v>
      </c>
      <c r="AR10">
        <v>14</v>
      </c>
      <c r="AS10">
        <v>16</v>
      </c>
      <c r="AT10">
        <v>1</v>
      </c>
      <c r="AU10">
        <v>109.5</v>
      </c>
      <c r="AV10">
        <v>292.88</v>
      </c>
      <c r="AW10" t="str">
        <f t="shared" si="7"/>
        <v>O1MT</v>
      </c>
      <c r="AX10" t="str">
        <f t="shared" si="8"/>
        <v>C1MT</v>
      </c>
      <c r="AY10" t="str">
        <f t="shared" si="9"/>
        <v>HMT</v>
      </c>
      <c r="BA10">
        <v>6</v>
      </c>
      <c r="BB10">
        <v>3</v>
      </c>
      <c r="BC10">
        <v>2</v>
      </c>
      <c r="BD10">
        <v>4</v>
      </c>
      <c r="BE10">
        <v>3</v>
      </c>
      <c r="BF10">
        <v>0.628</v>
      </c>
      <c r="BG10">
        <v>1.883</v>
      </c>
      <c r="BH10">
        <v>0</v>
      </c>
      <c r="BI10">
        <v>-2.5099999999999998</v>
      </c>
      <c r="BJ10">
        <v>0</v>
      </c>
      <c r="BK10">
        <v>0</v>
      </c>
      <c r="BL10" t="str">
        <f t="shared" si="15"/>
        <v>C1MT</v>
      </c>
      <c r="BM10" t="str">
        <f t="shared" si="10"/>
        <v>C1MT</v>
      </c>
      <c r="BN10" t="str">
        <f t="shared" si="10"/>
        <v>C1MT</v>
      </c>
      <c r="BO10" t="str">
        <f t="shared" si="10"/>
        <v>HMT</v>
      </c>
      <c r="BQ10">
        <v>32</v>
      </c>
      <c r="BR10">
        <v>28</v>
      </c>
      <c r="BS10">
        <v>27</v>
      </c>
      <c r="BT10">
        <v>24</v>
      </c>
      <c r="BU10">
        <v>3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 t="str">
        <f t="shared" si="11"/>
        <v>FMT</v>
      </c>
      <c r="CC10" t="str">
        <f t="shared" si="12"/>
        <v>C1MT</v>
      </c>
      <c r="CD10" t="str">
        <f t="shared" si="13"/>
        <v>SMT</v>
      </c>
      <c r="CE10" t="str">
        <f t="shared" si="14"/>
        <v>NMT</v>
      </c>
    </row>
    <row r="11" spans="1:83" x14ac:dyDescent="0.25">
      <c r="B11">
        <v>17</v>
      </c>
      <c r="C11">
        <v>0.03</v>
      </c>
      <c r="D11">
        <v>2.5</v>
      </c>
      <c r="E11">
        <v>17</v>
      </c>
      <c r="F11">
        <v>1.008</v>
      </c>
      <c r="G11" t="s">
        <v>49</v>
      </c>
      <c r="I11">
        <v>21</v>
      </c>
      <c r="J11">
        <v>0.25</v>
      </c>
      <c r="K11">
        <v>3.55</v>
      </c>
      <c r="L11">
        <v>21</v>
      </c>
      <c r="M11">
        <v>32.06</v>
      </c>
      <c r="N11" t="s">
        <v>51</v>
      </c>
      <c r="Q11">
        <v>10</v>
      </c>
      <c r="R11">
        <v>6</v>
      </c>
      <c r="S11">
        <v>1</v>
      </c>
      <c r="T11">
        <v>0.109</v>
      </c>
      <c r="U11">
        <v>284512</v>
      </c>
      <c r="V11" t="str">
        <f t="shared" si="0"/>
        <v>HMT</v>
      </c>
      <c r="W11" t="str">
        <f t="shared" si="1"/>
        <v>C1MT</v>
      </c>
      <c r="Y11">
        <v>24</v>
      </c>
      <c r="Z11">
        <v>21</v>
      </c>
      <c r="AA11">
        <v>1</v>
      </c>
      <c r="AB11">
        <v>0.17299999999999999</v>
      </c>
      <c r="AC11">
        <v>209200</v>
      </c>
      <c r="AD11" t="str">
        <f t="shared" si="2"/>
        <v>NMT</v>
      </c>
      <c r="AE11" t="str">
        <f t="shared" si="3"/>
        <v>SMT</v>
      </c>
      <c r="AG11">
        <v>3</v>
      </c>
      <c r="AH11">
        <v>6</v>
      </c>
      <c r="AI11">
        <v>11</v>
      </c>
      <c r="AJ11">
        <v>1</v>
      </c>
      <c r="AK11">
        <v>110.7</v>
      </c>
      <c r="AL11">
        <v>313.8</v>
      </c>
      <c r="AM11" t="str">
        <f t="shared" si="4"/>
        <v>C1MT</v>
      </c>
      <c r="AN11" t="str">
        <f t="shared" si="5"/>
        <v>C1MT</v>
      </c>
      <c r="AO11" t="str">
        <f t="shared" si="6"/>
        <v>HMT</v>
      </c>
      <c r="AQ11">
        <v>27</v>
      </c>
      <c r="AR11">
        <v>28</v>
      </c>
      <c r="AS11">
        <v>31</v>
      </c>
      <c r="AT11">
        <v>1</v>
      </c>
      <c r="AU11">
        <v>109.5</v>
      </c>
      <c r="AV11">
        <v>418.4</v>
      </c>
      <c r="AW11" t="str">
        <f t="shared" si="7"/>
        <v>SMT</v>
      </c>
      <c r="AX11" t="str">
        <f t="shared" si="8"/>
        <v>C1MT</v>
      </c>
      <c r="AY11" t="str">
        <f t="shared" si="9"/>
        <v>FMT</v>
      </c>
      <c r="BA11">
        <v>18</v>
      </c>
      <c r="BB11">
        <v>15</v>
      </c>
      <c r="BC11">
        <v>14</v>
      </c>
      <c r="BD11">
        <v>16</v>
      </c>
      <c r="BE11">
        <v>3</v>
      </c>
      <c r="BF11">
        <v>0.628</v>
      </c>
      <c r="BG11">
        <v>1.883</v>
      </c>
      <c r="BH11">
        <v>0</v>
      </c>
      <c r="BI11">
        <v>-2.5099999999999998</v>
      </c>
      <c r="BJ11">
        <v>0</v>
      </c>
      <c r="BK11">
        <v>0</v>
      </c>
      <c r="BL11" t="str">
        <f t="shared" si="15"/>
        <v>C1MT</v>
      </c>
      <c r="BM11" t="str">
        <f t="shared" si="10"/>
        <v>C1MT</v>
      </c>
      <c r="BN11" t="str">
        <f t="shared" si="10"/>
        <v>C1MT</v>
      </c>
      <c r="BO11" t="str">
        <f t="shared" si="10"/>
        <v>HMT</v>
      </c>
      <c r="BQ11">
        <v>33</v>
      </c>
      <c r="BR11">
        <v>28</v>
      </c>
      <c r="BS11">
        <v>27</v>
      </c>
      <c r="BT11">
        <v>30</v>
      </c>
      <c r="BU11">
        <v>3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 t="str">
        <f t="shared" si="11"/>
        <v>FMT</v>
      </c>
      <c r="CC11" t="str">
        <f t="shared" si="12"/>
        <v>C1MT</v>
      </c>
      <c r="CD11" t="str">
        <f t="shared" si="13"/>
        <v>SMT</v>
      </c>
      <c r="CE11" t="str">
        <f t="shared" si="14"/>
        <v>O3MT</v>
      </c>
    </row>
    <row r="12" spans="1:83" x14ac:dyDescent="0.25">
      <c r="B12">
        <v>19</v>
      </c>
      <c r="C12">
        <v>0.03</v>
      </c>
      <c r="D12">
        <v>2.5</v>
      </c>
      <c r="E12">
        <v>19</v>
      </c>
      <c r="F12">
        <v>1.008</v>
      </c>
      <c r="G12" t="s">
        <v>49</v>
      </c>
      <c r="Q12">
        <v>11</v>
      </c>
      <c r="R12">
        <v>6</v>
      </c>
      <c r="S12">
        <v>1</v>
      </c>
      <c r="T12">
        <v>0.109</v>
      </c>
      <c r="U12">
        <v>284512</v>
      </c>
      <c r="V12" t="str">
        <f t="shared" si="0"/>
        <v>HMT</v>
      </c>
      <c r="W12" t="str">
        <f t="shared" si="1"/>
        <v>C1MT</v>
      </c>
      <c r="Y12">
        <v>21</v>
      </c>
      <c r="Z12">
        <v>18</v>
      </c>
      <c r="AA12">
        <v>1</v>
      </c>
      <c r="AB12">
        <v>0.17699999999999999</v>
      </c>
      <c r="AC12">
        <v>284512</v>
      </c>
      <c r="AD12" t="str">
        <f t="shared" si="2"/>
        <v>SMT</v>
      </c>
      <c r="AE12" t="str">
        <f t="shared" si="3"/>
        <v>C1MT</v>
      </c>
      <c r="AG12">
        <v>3</v>
      </c>
      <c r="AH12">
        <v>7</v>
      </c>
      <c r="AI12">
        <v>12</v>
      </c>
      <c r="AJ12">
        <v>1</v>
      </c>
      <c r="AK12">
        <v>111.4</v>
      </c>
      <c r="AL12">
        <v>677.80799999999999</v>
      </c>
      <c r="AM12" t="str">
        <f t="shared" si="4"/>
        <v>C1MT</v>
      </c>
      <c r="AN12" t="str">
        <f t="shared" si="5"/>
        <v>C2MT</v>
      </c>
      <c r="AO12" t="str">
        <f t="shared" si="6"/>
        <v>O1MT</v>
      </c>
      <c r="AQ12">
        <v>21</v>
      </c>
      <c r="AR12">
        <v>18</v>
      </c>
      <c r="AS12">
        <v>23</v>
      </c>
      <c r="AT12">
        <v>1</v>
      </c>
      <c r="AU12">
        <v>109.5</v>
      </c>
      <c r="AV12">
        <v>292.88</v>
      </c>
      <c r="AW12" t="str">
        <f t="shared" si="7"/>
        <v>SMT</v>
      </c>
      <c r="AX12" t="str">
        <f t="shared" si="8"/>
        <v>C1MT</v>
      </c>
      <c r="AY12" t="str">
        <f t="shared" si="9"/>
        <v>HMT</v>
      </c>
      <c r="BA12">
        <v>18</v>
      </c>
      <c r="BB12">
        <v>15</v>
      </c>
      <c r="BC12">
        <v>14</v>
      </c>
      <c r="BD12">
        <v>12</v>
      </c>
      <c r="BE12">
        <v>3</v>
      </c>
      <c r="BF12">
        <v>2.8740000000000001</v>
      </c>
      <c r="BG12">
        <v>0.58199999999999996</v>
      </c>
      <c r="BH12">
        <v>2.0920000000000001</v>
      </c>
      <c r="BI12">
        <v>-5.548</v>
      </c>
      <c r="BJ12">
        <v>0</v>
      </c>
      <c r="BK12">
        <v>0</v>
      </c>
      <c r="BL12" t="str">
        <f t="shared" si="15"/>
        <v>C1MT</v>
      </c>
      <c r="BM12" t="str">
        <f t="shared" si="10"/>
        <v>C1MT</v>
      </c>
      <c r="BN12" t="str">
        <f t="shared" si="10"/>
        <v>C1MT</v>
      </c>
      <c r="BO12" t="str">
        <f t="shared" si="10"/>
        <v>O1MT</v>
      </c>
      <c r="BQ12">
        <v>9</v>
      </c>
      <c r="BR12">
        <v>6</v>
      </c>
      <c r="BS12">
        <v>3</v>
      </c>
      <c r="BT12">
        <v>7</v>
      </c>
      <c r="BU12">
        <v>3</v>
      </c>
      <c r="BV12">
        <v>-0.20899999999999999</v>
      </c>
      <c r="BW12">
        <v>-0.628</v>
      </c>
      <c r="BX12">
        <v>0</v>
      </c>
      <c r="BY12">
        <v>0.83699999999999997</v>
      </c>
      <c r="BZ12">
        <v>0</v>
      </c>
      <c r="CA12">
        <v>0</v>
      </c>
      <c r="CB12" t="str">
        <f t="shared" si="11"/>
        <v>HMT</v>
      </c>
      <c r="CC12" t="str">
        <f t="shared" si="12"/>
        <v>C1MT</v>
      </c>
      <c r="CD12" t="str">
        <f t="shared" si="13"/>
        <v>C1MT</v>
      </c>
      <c r="CE12" t="str">
        <f t="shared" si="14"/>
        <v>C2MT</v>
      </c>
    </row>
    <row r="13" spans="1:83" x14ac:dyDescent="0.25">
      <c r="B13">
        <v>20</v>
      </c>
      <c r="C13">
        <v>0.03</v>
      </c>
      <c r="D13">
        <v>2.5</v>
      </c>
      <c r="E13">
        <v>20</v>
      </c>
      <c r="F13">
        <v>1.008</v>
      </c>
      <c r="G13" t="s">
        <v>49</v>
      </c>
      <c r="Q13">
        <v>12</v>
      </c>
      <c r="R13">
        <v>7</v>
      </c>
      <c r="S13">
        <v>1</v>
      </c>
      <c r="T13">
        <v>0.13270000000000001</v>
      </c>
      <c r="U13">
        <v>179075.20000000001</v>
      </c>
      <c r="V13" t="str">
        <f t="shared" si="0"/>
        <v>O1MT</v>
      </c>
      <c r="W13" t="str">
        <f t="shared" si="1"/>
        <v>C2MT</v>
      </c>
      <c r="AG13">
        <v>3</v>
      </c>
      <c r="AH13">
        <v>7</v>
      </c>
      <c r="AI13">
        <v>13</v>
      </c>
      <c r="AJ13">
        <v>1</v>
      </c>
      <c r="AK13">
        <v>120.4</v>
      </c>
      <c r="AL13">
        <v>669.44</v>
      </c>
      <c r="AM13" t="str">
        <f t="shared" si="4"/>
        <v>C1MT</v>
      </c>
      <c r="AN13" t="str">
        <f t="shared" si="5"/>
        <v>C2MT</v>
      </c>
      <c r="AO13" t="str">
        <f t="shared" si="6"/>
        <v>O2MT</v>
      </c>
      <c r="AQ13">
        <v>7</v>
      </c>
      <c r="AR13">
        <v>3</v>
      </c>
      <c r="AS13">
        <v>8</v>
      </c>
      <c r="AT13">
        <v>1</v>
      </c>
      <c r="AU13">
        <v>109.5</v>
      </c>
      <c r="AV13">
        <v>292.88</v>
      </c>
      <c r="AW13" t="str">
        <f t="shared" si="7"/>
        <v>C2MT</v>
      </c>
      <c r="AX13" t="str">
        <f t="shared" si="8"/>
        <v>C1MT</v>
      </c>
      <c r="AY13" t="str">
        <f t="shared" si="9"/>
        <v>HMT</v>
      </c>
      <c r="BA13">
        <v>15</v>
      </c>
      <c r="BB13">
        <v>14</v>
      </c>
      <c r="BC13">
        <v>12</v>
      </c>
      <c r="BD13">
        <v>7</v>
      </c>
      <c r="BE13">
        <v>3</v>
      </c>
      <c r="BF13">
        <v>-2.1970000000000001</v>
      </c>
      <c r="BG13">
        <v>5.2009999999999996</v>
      </c>
      <c r="BH13">
        <v>0.52700000000000002</v>
      </c>
      <c r="BI13">
        <v>-3.5310000000000001</v>
      </c>
      <c r="BJ13">
        <v>0</v>
      </c>
      <c r="BK13">
        <v>0</v>
      </c>
      <c r="BL13" t="str">
        <f t="shared" si="15"/>
        <v>C1MT</v>
      </c>
      <c r="BM13" t="str">
        <f t="shared" si="10"/>
        <v>C1MT</v>
      </c>
      <c r="BN13" t="str">
        <f t="shared" si="10"/>
        <v>O1MT</v>
      </c>
      <c r="BO13" t="str">
        <f t="shared" si="10"/>
        <v>C2MT</v>
      </c>
      <c r="BQ13">
        <v>10</v>
      </c>
      <c r="BR13">
        <v>6</v>
      </c>
      <c r="BS13">
        <v>3</v>
      </c>
      <c r="BT13">
        <v>2</v>
      </c>
      <c r="BU13">
        <v>3</v>
      </c>
      <c r="BV13">
        <v>0.628</v>
      </c>
      <c r="BW13">
        <v>1.883</v>
      </c>
      <c r="BX13">
        <v>0</v>
      </c>
      <c r="BY13">
        <v>-2.5099999999999998</v>
      </c>
      <c r="BZ13">
        <v>0</v>
      </c>
      <c r="CA13">
        <v>0</v>
      </c>
      <c r="CB13" t="str">
        <f t="shared" si="11"/>
        <v>HMT</v>
      </c>
      <c r="CC13" t="str">
        <f t="shared" si="12"/>
        <v>C1MT</v>
      </c>
      <c r="CD13" t="str">
        <f t="shared" si="13"/>
        <v>C1MT</v>
      </c>
      <c r="CE13" t="str">
        <f t="shared" si="14"/>
        <v>C1MT</v>
      </c>
    </row>
    <row r="14" spans="1:83" x14ac:dyDescent="0.25">
      <c r="B14">
        <v>22</v>
      </c>
      <c r="C14">
        <v>0.03</v>
      </c>
      <c r="D14">
        <v>2.5</v>
      </c>
      <c r="E14">
        <v>22</v>
      </c>
      <c r="F14">
        <v>1.008</v>
      </c>
      <c r="G14" t="s">
        <v>49</v>
      </c>
      <c r="Q14">
        <v>13</v>
      </c>
      <c r="R14">
        <v>7</v>
      </c>
      <c r="S14">
        <v>1</v>
      </c>
      <c r="T14">
        <v>0.1229</v>
      </c>
      <c r="U14">
        <v>476976</v>
      </c>
      <c r="V14" t="str">
        <f t="shared" si="0"/>
        <v>O2MT</v>
      </c>
      <c r="W14" t="str">
        <f t="shared" si="1"/>
        <v>C2MT</v>
      </c>
      <c r="AG14">
        <v>7</v>
      </c>
      <c r="AH14">
        <v>12</v>
      </c>
      <c r="AI14">
        <v>14</v>
      </c>
      <c r="AJ14">
        <v>1</v>
      </c>
      <c r="AK14">
        <v>116.9</v>
      </c>
      <c r="AL14">
        <v>694.54399999999998</v>
      </c>
      <c r="AM14" t="str">
        <f t="shared" si="4"/>
        <v>C2MT</v>
      </c>
      <c r="AN14" t="str">
        <f t="shared" si="5"/>
        <v>O1MT</v>
      </c>
      <c r="AO14" t="str">
        <f t="shared" si="6"/>
        <v>C1MT</v>
      </c>
      <c r="AQ14">
        <v>1</v>
      </c>
      <c r="AR14">
        <v>2</v>
      </c>
      <c r="AS14">
        <v>3</v>
      </c>
      <c r="AT14">
        <v>1</v>
      </c>
      <c r="AU14">
        <v>110.7</v>
      </c>
      <c r="AV14">
        <v>313.8</v>
      </c>
      <c r="AW14" t="str">
        <f t="shared" si="7"/>
        <v>HMT</v>
      </c>
      <c r="AX14" t="str">
        <f t="shared" si="8"/>
        <v>C1MT</v>
      </c>
      <c r="AY14" t="str">
        <f t="shared" si="9"/>
        <v>C1MT</v>
      </c>
      <c r="BA14">
        <v>14</v>
      </c>
      <c r="BB14">
        <v>12</v>
      </c>
      <c r="BC14">
        <v>7</v>
      </c>
      <c r="BD14">
        <v>3</v>
      </c>
      <c r="BE14">
        <v>3</v>
      </c>
      <c r="BF14">
        <v>31.206</v>
      </c>
      <c r="BG14">
        <v>-9.7680000000000007</v>
      </c>
      <c r="BH14">
        <v>-21.439</v>
      </c>
      <c r="BI14">
        <v>0</v>
      </c>
      <c r="BJ14">
        <v>0</v>
      </c>
      <c r="BK14">
        <v>0</v>
      </c>
      <c r="BL14" t="str">
        <f t="shared" si="15"/>
        <v>C1MT</v>
      </c>
      <c r="BM14" t="str">
        <f t="shared" si="10"/>
        <v>O1MT</v>
      </c>
      <c r="BN14" t="str">
        <f t="shared" si="10"/>
        <v>C2MT</v>
      </c>
      <c r="BO14" t="str">
        <f t="shared" si="10"/>
        <v>C1MT</v>
      </c>
      <c r="BQ14">
        <v>23</v>
      </c>
      <c r="BR14">
        <v>18</v>
      </c>
      <c r="BS14">
        <v>15</v>
      </c>
      <c r="BT14">
        <v>20</v>
      </c>
      <c r="BU14">
        <v>3</v>
      </c>
      <c r="BV14">
        <v>0.628</v>
      </c>
      <c r="BW14">
        <v>1.883</v>
      </c>
      <c r="BX14">
        <v>0</v>
      </c>
      <c r="BY14">
        <v>-2.5099999999999998</v>
      </c>
      <c r="BZ14">
        <v>0</v>
      </c>
      <c r="CA14">
        <v>0</v>
      </c>
      <c r="CB14" t="str">
        <f t="shared" si="11"/>
        <v>HMT</v>
      </c>
      <c r="CC14" t="str">
        <f t="shared" si="12"/>
        <v>C1MT</v>
      </c>
      <c r="CD14" t="str">
        <f t="shared" si="13"/>
        <v>C1MT</v>
      </c>
      <c r="CE14" t="str">
        <f t="shared" si="14"/>
        <v>HMT</v>
      </c>
    </row>
    <row r="15" spans="1:83" x14ac:dyDescent="0.25">
      <c r="B15">
        <v>23</v>
      </c>
      <c r="C15">
        <v>0.03</v>
      </c>
      <c r="D15">
        <v>2.5</v>
      </c>
      <c r="E15">
        <v>23</v>
      </c>
      <c r="F15">
        <v>1.008</v>
      </c>
      <c r="G15" t="s">
        <v>49</v>
      </c>
      <c r="Q15">
        <v>14</v>
      </c>
      <c r="R15">
        <v>12</v>
      </c>
      <c r="S15">
        <v>1</v>
      </c>
      <c r="T15">
        <v>0.14099999999999999</v>
      </c>
      <c r="U15">
        <v>267776</v>
      </c>
      <c r="V15" t="str">
        <f t="shared" si="0"/>
        <v>C1MT</v>
      </c>
      <c r="W15" t="str">
        <f t="shared" si="1"/>
        <v>O1MT</v>
      </c>
      <c r="AG15">
        <v>12</v>
      </c>
      <c r="AH15">
        <v>14</v>
      </c>
      <c r="AI15">
        <v>15</v>
      </c>
      <c r="AJ15">
        <v>1</v>
      </c>
      <c r="AK15">
        <v>109.5</v>
      </c>
      <c r="AL15">
        <v>418.4</v>
      </c>
      <c r="AM15" t="str">
        <f t="shared" si="4"/>
        <v>O1MT</v>
      </c>
      <c r="AN15" t="str">
        <f t="shared" si="5"/>
        <v>C1MT</v>
      </c>
      <c r="AO15" t="str">
        <f t="shared" si="6"/>
        <v>C1MT</v>
      </c>
      <c r="AQ15">
        <v>2</v>
      </c>
      <c r="AR15">
        <v>3</v>
      </c>
      <c r="AS15">
        <v>7</v>
      </c>
      <c r="AT15">
        <v>1</v>
      </c>
      <c r="AU15">
        <v>111.1</v>
      </c>
      <c r="AV15">
        <v>527.18399999999997</v>
      </c>
      <c r="AW15" t="str">
        <f t="shared" si="7"/>
        <v>C1MT</v>
      </c>
      <c r="AX15" t="str">
        <f t="shared" si="8"/>
        <v>C1MT</v>
      </c>
      <c r="AY15" t="str">
        <f t="shared" si="9"/>
        <v>C2MT</v>
      </c>
      <c r="BA15">
        <v>14</v>
      </c>
      <c r="BB15">
        <v>12</v>
      </c>
      <c r="BC15">
        <v>7</v>
      </c>
      <c r="BD15">
        <v>13</v>
      </c>
      <c r="BE15">
        <v>3</v>
      </c>
      <c r="BF15">
        <v>21.439</v>
      </c>
      <c r="BG15">
        <v>0</v>
      </c>
      <c r="BH15">
        <v>-21.439</v>
      </c>
      <c r="BI15">
        <v>0</v>
      </c>
      <c r="BJ15">
        <v>0</v>
      </c>
      <c r="BK15">
        <v>0</v>
      </c>
      <c r="BL15" t="str">
        <f t="shared" si="15"/>
        <v>C1MT</v>
      </c>
      <c r="BM15" t="str">
        <f t="shared" si="10"/>
        <v>O1MT</v>
      </c>
      <c r="BN15" t="str">
        <f t="shared" si="10"/>
        <v>C2MT</v>
      </c>
      <c r="BO15" t="str">
        <f t="shared" si="10"/>
        <v>O2MT</v>
      </c>
      <c r="BQ15">
        <v>20</v>
      </c>
      <c r="BR15">
        <v>15</v>
      </c>
      <c r="BS15">
        <v>14</v>
      </c>
      <c r="BT15">
        <v>12</v>
      </c>
      <c r="BU15">
        <v>3</v>
      </c>
      <c r="BV15">
        <v>0.97899999999999998</v>
      </c>
      <c r="BW15">
        <v>2.9369999999999998</v>
      </c>
      <c r="BX15">
        <v>0</v>
      </c>
      <c r="BY15">
        <v>-3.9159999999999999</v>
      </c>
      <c r="BZ15">
        <v>0</v>
      </c>
      <c r="CA15">
        <v>0</v>
      </c>
      <c r="CB15" t="str">
        <f t="shared" si="11"/>
        <v>HMT</v>
      </c>
      <c r="CC15" t="str">
        <f t="shared" si="12"/>
        <v>C1MT</v>
      </c>
      <c r="CD15" t="str">
        <f t="shared" si="13"/>
        <v>C1MT</v>
      </c>
      <c r="CE15" t="str">
        <f t="shared" si="14"/>
        <v>O1MT</v>
      </c>
    </row>
    <row r="16" spans="1:83" x14ac:dyDescent="0.25">
      <c r="B16">
        <v>31</v>
      </c>
      <c r="C16">
        <v>0.06</v>
      </c>
      <c r="D16">
        <v>2.9</v>
      </c>
      <c r="E16">
        <v>31</v>
      </c>
      <c r="F16">
        <v>18.998000000000001</v>
      </c>
      <c r="G16" t="s">
        <v>50</v>
      </c>
      <c r="Q16">
        <v>15</v>
      </c>
      <c r="R16">
        <v>14</v>
      </c>
      <c r="S16">
        <v>1</v>
      </c>
      <c r="T16">
        <v>0.15290000000000001</v>
      </c>
      <c r="U16">
        <v>224262.39999999999</v>
      </c>
      <c r="V16" t="str">
        <f t="shared" si="0"/>
        <v>C1MT</v>
      </c>
      <c r="W16" t="str">
        <f t="shared" si="1"/>
        <v>C1MT</v>
      </c>
      <c r="AG16">
        <v>12</v>
      </c>
      <c r="AH16">
        <v>14</v>
      </c>
      <c r="AI16">
        <v>16</v>
      </c>
      <c r="AJ16">
        <v>1</v>
      </c>
      <c r="AK16">
        <v>109.5</v>
      </c>
      <c r="AL16">
        <v>292.88</v>
      </c>
      <c r="AM16" t="str">
        <f t="shared" si="4"/>
        <v>O1MT</v>
      </c>
      <c r="AN16" t="str">
        <f t="shared" si="5"/>
        <v>C1MT</v>
      </c>
      <c r="AO16" t="str">
        <f t="shared" si="6"/>
        <v>HMT</v>
      </c>
      <c r="AQ16">
        <v>3</v>
      </c>
      <c r="AR16">
        <v>7</v>
      </c>
      <c r="AS16">
        <v>12</v>
      </c>
      <c r="AT16">
        <v>1</v>
      </c>
      <c r="AU16">
        <v>111.4</v>
      </c>
      <c r="AV16">
        <v>677.80799999999999</v>
      </c>
      <c r="AW16" t="str">
        <f t="shared" si="7"/>
        <v>C1MT</v>
      </c>
      <c r="AX16" t="str">
        <f t="shared" si="8"/>
        <v>C2MT</v>
      </c>
      <c r="AY16" t="str">
        <f t="shared" si="9"/>
        <v>O1MT</v>
      </c>
      <c r="BA16">
        <v>32</v>
      </c>
      <c r="BB16">
        <v>28</v>
      </c>
      <c r="BC16">
        <v>27</v>
      </c>
      <c r="BD16">
        <v>24</v>
      </c>
      <c r="BE16">
        <v>3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 t="str">
        <f t="shared" si="15"/>
        <v>FMT</v>
      </c>
      <c r="BM16" t="str">
        <f t="shared" si="10"/>
        <v>C1MT</v>
      </c>
      <c r="BN16" t="str">
        <f t="shared" si="10"/>
        <v>SMT</v>
      </c>
      <c r="BO16" t="str">
        <f t="shared" si="10"/>
        <v>NMT</v>
      </c>
      <c r="BQ16">
        <v>16</v>
      </c>
      <c r="BR16">
        <v>14</v>
      </c>
      <c r="BS16">
        <v>12</v>
      </c>
      <c r="BT16">
        <v>7</v>
      </c>
      <c r="BU16">
        <v>3</v>
      </c>
      <c r="BV16">
        <v>0.41399999999999998</v>
      </c>
      <c r="BW16">
        <v>1.2430000000000001</v>
      </c>
      <c r="BX16">
        <v>0</v>
      </c>
      <c r="BY16">
        <v>-1.657</v>
      </c>
      <c r="BZ16">
        <v>0</v>
      </c>
      <c r="CA16">
        <v>0</v>
      </c>
      <c r="CB16" t="str">
        <f t="shared" si="11"/>
        <v>HMT</v>
      </c>
      <c r="CC16" t="str">
        <f t="shared" si="12"/>
        <v>C1MT</v>
      </c>
      <c r="CD16" t="str">
        <f t="shared" si="13"/>
        <v>O1MT</v>
      </c>
      <c r="CE16" t="str">
        <f t="shared" si="14"/>
        <v>C2MT</v>
      </c>
    </row>
    <row r="17" spans="2:83" x14ac:dyDescent="0.25">
      <c r="B17">
        <v>32</v>
      </c>
      <c r="C17">
        <v>0.06</v>
      </c>
      <c r="D17">
        <v>2.9</v>
      </c>
      <c r="E17">
        <v>32</v>
      </c>
      <c r="F17">
        <v>18.998000000000001</v>
      </c>
      <c r="G17" t="s">
        <v>50</v>
      </c>
      <c r="Q17">
        <v>16</v>
      </c>
      <c r="R17">
        <v>14</v>
      </c>
      <c r="S17">
        <v>1</v>
      </c>
      <c r="T17">
        <v>0.109</v>
      </c>
      <c r="U17">
        <v>284512</v>
      </c>
      <c r="V17" t="str">
        <f t="shared" si="0"/>
        <v>HMT</v>
      </c>
      <c r="W17" t="str">
        <f t="shared" si="1"/>
        <v>C1MT</v>
      </c>
      <c r="AG17">
        <v>12</v>
      </c>
      <c r="AH17">
        <v>14</v>
      </c>
      <c r="AI17">
        <v>17</v>
      </c>
      <c r="AJ17">
        <v>1</v>
      </c>
      <c r="AK17">
        <v>109.5</v>
      </c>
      <c r="AL17">
        <v>292.88</v>
      </c>
      <c r="AM17" t="str">
        <f t="shared" si="4"/>
        <v>O1MT</v>
      </c>
      <c r="AN17" t="str">
        <f t="shared" si="5"/>
        <v>C1MT</v>
      </c>
      <c r="AO17" t="str">
        <f t="shared" si="6"/>
        <v>HMT</v>
      </c>
      <c r="AQ17">
        <v>2</v>
      </c>
      <c r="AR17">
        <v>3</v>
      </c>
      <c r="AS17">
        <v>6</v>
      </c>
      <c r="AT17">
        <v>1</v>
      </c>
      <c r="AU17">
        <v>112.7</v>
      </c>
      <c r="AV17">
        <v>488.27300000000002</v>
      </c>
      <c r="AW17" t="str">
        <f t="shared" si="7"/>
        <v>C1MT</v>
      </c>
      <c r="AX17" t="str">
        <f t="shared" si="8"/>
        <v>C1MT</v>
      </c>
      <c r="AY17" t="str">
        <f t="shared" si="9"/>
        <v>C1MT</v>
      </c>
      <c r="BA17">
        <v>33</v>
      </c>
      <c r="BB17">
        <v>28</v>
      </c>
      <c r="BC17">
        <v>27</v>
      </c>
      <c r="BD17">
        <v>24</v>
      </c>
      <c r="BE17">
        <v>3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 t="str">
        <f t="shared" si="15"/>
        <v>FMT</v>
      </c>
      <c r="BM17" t="str">
        <f t="shared" si="10"/>
        <v>C1MT</v>
      </c>
      <c r="BN17" t="str">
        <f t="shared" si="10"/>
        <v>SMT</v>
      </c>
      <c r="BO17" t="str">
        <f t="shared" si="10"/>
        <v>NMT</v>
      </c>
      <c r="BQ17">
        <v>24</v>
      </c>
      <c r="BR17">
        <v>21</v>
      </c>
      <c r="BS17">
        <v>18</v>
      </c>
      <c r="BT17">
        <v>15</v>
      </c>
      <c r="BU17">
        <v>3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 t="str">
        <f t="shared" si="11"/>
        <v>NMT</v>
      </c>
      <c r="CC17" t="str">
        <f t="shared" si="12"/>
        <v>SMT</v>
      </c>
      <c r="CD17" t="str">
        <f t="shared" si="13"/>
        <v>C1MT</v>
      </c>
      <c r="CE17" t="str">
        <f t="shared" si="14"/>
        <v>C1MT</v>
      </c>
    </row>
    <row r="18" spans="2:83" x14ac:dyDescent="0.25">
      <c r="B18">
        <v>33</v>
      </c>
      <c r="C18">
        <v>0.06</v>
      </c>
      <c r="D18">
        <v>2.9</v>
      </c>
      <c r="E18">
        <v>33</v>
      </c>
      <c r="F18">
        <v>18.998000000000001</v>
      </c>
      <c r="G18" t="s">
        <v>50</v>
      </c>
      <c r="Q18">
        <v>17</v>
      </c>
      <c r="R18">
        <v>14</v>
      </c>
      <c r="S18">
        <v>1</v>
      </c>
      <c r="T18">
        <v>0.109</v>
      </c>
      <c r="U18">
        <v>284512</v>
      </c>
      <c r="V18" t="str">
        <f t="shared" si="0"/>
        <v>HMT</v>
      </c>
      <c r="W18" t="str">
        <f t="shared" si="1"/>
        <v>C1MT</v>
      </c>
      <c r="AG18">
        <v>14</v>
      </c>
      <c r="AH18">
        <v>15</v>
      </c>
      <c r="AI18">
        <v>18</v>
      </c>
      <c r="AJ18">
        <v>1</v>
      </c>
      <c r="AK18">
        <v>112.7</v>
      </c>
      <c r="AL18">
        <v>488.27300000000002</v>
      </c>
      <c r="AM18" t="str">
        <f t="shared" si="4"/>
        <v>C1MT</v>
      </c>
      <c r="AN18" t="str">
        <f t="shared" si="5"/>
        <v>C1MT</v>
      </c>
      <c r="AO18" t="str">
        <f t="shared" si="6"/>
        <v>C1MT</v>
      </c>
      <c r="AQ18">
        <v>21</v>
      </c>
      <c r="AR18">
        <v>24</v>
      </c>
      <c r="AS18">
        <v>27</v>
      </c>
      <c r="AT18">
        <v>1</v>
      </c>
      <c r="AU18">
        <v>116.57</v>
      </c>
      <c r="AV18">
        <v>504.25599999999997</v>
      </c>
      <c r="AW18" t="str">
        <f t="shared" si="7"/>
        <v>SMT</v>
      </c>
      <c r="AX18" t="str">
        <f t="shared" si="8"/>
        <v>NMT</v>
      </c>
      <c r="AY18" t="str">
        <f t="shared" si="9"/>
        <v>SMT</v>
      </c>
      <c r="BA18">
        <v>31</v>
      </c>
      <c r="BB18">
        <v>28</v>
      </c>
      <c r="BC18">
        <v>27</v>
      </c>
      <c r="BD18">
        <v>24</v>
      </c>
      <c r="BE18">
        <v>3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 t="str">
        <f t="shared" si="15"/>
        <v>FMT</v>
      </c>
      <c r="BM18" t="str">
        <f t="shared" si="10"/>
        <v>C1MT</v>
      </c>
      <c r="BN18" t="str">
        <f t="shared" si="10"/>
        <v>SMT</v>
      </c>
      <c r="BO18" t="str">
        <f t="shared" si="10"/>
        <v>NMT</v>
      </c>
      <c r="BQ18">
        <v>24</v>
      </c>
      <c r="BR18">
        <v>21</v>
      </c>
      <c r="BS18">
        <v>18</v>
      </c>
      <c r="BT18">
        <v>22</v>
      </c>
      <c r="BU18">
        <v>3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 t="str">
        <f t="shared" si="11"/>
        <v>NMT</v>
      </c>
      <c r="CC18" t="str">
        <f t="shared" si="12"/>
        <v>SMT</v>
      </c>
      <c r="CD18" t="str">
        <f t="shared" si="13"/>
        <v>C1MT</v>
      </c>
      <c r="CE18" t="str">
        <f t="shared" si="14"/>
        <v>HMT</v>
      </c>
    </row>
    <row r="19" spans="2:83" x14ac:dyDescent="0.25">
      <c r="B19">
        <v>2</v>
      </c>
      <c r="C19">
        <v>6.6000000000000003E-2</v>
      </c>
      <c r="D19">
        <v>3.5</v>
      </c>
      <c r="E19">
        <v>2</v>
      </c>
      <c r="F19">
        <v>12.010999999999999</v>
      </c>
      <c r="G19" t="s">
        <v>52</v>
      </c>
      <c r="Q19">
        <v>18</v>
      </c>
      <c r="R19">
        <v>15</v>
      </c>
      <c r="S19">
        <v>1</v>
      </c>
      <c r="T19">
        <v>0.15290000000000001</v>
      </c>
      <c r="U19">
        <v>224262.39999999999</v>
      </c>
      <c r="V19" t="str">
        <f t="shared" si="0"/>
        <v>C1MT</v>
      </c>
      <c r="W19" t="str">
        <f t="shared" si="1"/>
        <v>C1MT</v>
      </c>
      <c r="AG19">
        <v>14</v>
      </c>
      <c r="AH19">
        <v>15</v>
      </c>
      <c r="AI19">
        <v>19</v>
      </c>
      <c r="AJ19">
        <v>1</v>
      </c>
      <c r="AK19">
        <v>110.7</v>
      </c>
      <c r="AL19">
        <v>313.8</v>
      </c>
      <c r="AM19" t="str">
        <f t="shared" si="4"/>
        <v>C1MT</v>
      </c>
      <c r="AN19" t="str">
        <f t="shared" si="5"/>
        <v>C1MT</v>
      </c>
      <c r="AO19" t="str">
        <f t="shared" si="6"/>
        <v>HMT</v>
      </c>
      <c r="AQ19">
        <v>7</v>
      </c>
      <c r="AR19">
        <v>12</v>
      </c>
      <c r="AS19">
        <v>14</v>
      </c>
      <c r="AT19">
        <v>1</v>
      </c>
      <c r="AU19">
        <v>116.9</v>
      </c>
      <c r="AV19">
        <v>694.54399999999998</v>
      </c>
      <c r="AW19" t="str">
        <f t="shared" si="7"/>
        <v>C2MT</v>
      </c>
      <c r="AX19" t="str">
        <f t="shared" si="8"/>
        <v>O1MT</v>
      </c>
      <c r="AY19" t="str">
        <f t="shared" si="9"/>
        <v>C1MT</v>
      </c>
      <c r="BA19">
        <v>33</v>
      </c>
      <c r="BB19">
        <v>28</v>
      </c>
      <c r="BC19">
        <v>27</v>
      </c>
      <c r="BD19">
        <v>30</v>
      </c>
      <c r="BE19">
        <v>3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 t="str">
        <f t="shared" si="15"/>
        <v>FMT</v>
      </c>
      <c r="BM19" t="str">
        <f t="shared" si="15"/>
        <v>C1MT</v>
      </c>
      <c r="BN19" t="str">
        <f t="shared" si="15"/>
        <v>SMT</v>
      </c>
      <c r="BO19" t="str">
        <f t="shared" si="15"/>
        <v>O3MT</v>
      </c>
      <c r="BQ19">
        <v>13</v>
      </c>
      <c r="BR19">
        <v>7</v>
      </c>
      <c r="BS19">
        <v>3</v>
      </c>
      <c r="BT19">
        <v>2</v>
      </c>
      <c r="BU19">
        <v>3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 t="str">
        <f t="shared" si="11"/>
        <v>O2MT</v>
      </c>
      <c r="CC19" t="str">
        <f t="shared" si="12"/>
        <v>C2MT</v>
      </c>
      <c r="CD19" t="str">
        <f t="shared" si="13"/>
        <v>C1MT</v>
      </c>
      <c r="CE19" t="str">
        <f t="shared" si="14"/>
        <v>C1MT</v>
      </c>
    </row>
    <row r="20" spans="2:83" x14ac:dyDescent="0.25">
      <c r="B20">
        <v>3</v>
      </c>
      <c r="C20">
        <v>6.6000000000000003E-2</v>
      </c>
      <c r="D20">
        <v>3.5</v>
      </c>
      <c r="E20">
        <v>3</v>
      </c>
      <c r="F20">
        <v>12.010999999999999</v>
      </c>
      <c r="G20" t="s">
        <v>52</v>
      </c>
      <c r="Q20">
        <v>19</v>
      </c>
      <c r="R20">
        <v>15</v>
      </c>
      <c r="S20">
        <v>1</v>
      </c>
      <c r="T20">
        <v>0.109</v>
      </c>
      <c r="U20">
        <v>284512</v>
      </c>
      <c r="V20" t="str">
        <f t="shared" si="0"/>
        <v>HMT</v>
      </c>
      <c r="W20" t="str">
        <f t="shared" si="1"/>
        <v>C1MT</v>
      </c>
      <c r="AG20">
        <v>14</v>
      </c>
      <c r="AH20">
        <v>15</v>
      </c>
      <c r="AI20">
        <v>20</v>
      </c>
      <c r="AJ20">
        <v>1</v>
      </c>
      <c r="AK20">
        <v>110.7</v>
      </c>
      <c r="AL20">
        <v>313.8</v>
      </c>
      <c r="AM20" t="str">
        <f t="shared" si="4"/>
        <v>C1MT</v>
      </c>
      <c r="AN20" t="str">
        <f t="shared" si="5"/>
        <v>C1MT</v>
      </c>
      <c r="AO20" t="str">
        <f t="shared" si="6"/>
        <v>HMT</v>
      </c>
      <c r="AQ20">
        <v>25</v>
      </c>
      <c r="AR20">
        <v>21</v>
      </c>
      <c r="AS20">
        <v>26</v>
      </c>
      <c r="AT20">
        <v>1</v>
      </c>
      <c r="AU20">
        <v>119</v>
      </c>
      <c r="AV20">
        <v>870.27200000000005</v>
      </c>
      <c r="AW20" t="str">
        <f t="shared" si="7"/>
        <v>O3MT</v>
      </c>
      <c r="AX20" t="str">
        <f t="shared" si="8"/>
        <v>SMT</v>
      </c>
      <c r="AY20" t="str">
        <f t="shared" si="9"/>
        <v>O3MT</v>
      </c>
      <c r="BA20">
        <v>32</v>
      </c>
      <c r="BB20">
        <v>28</v>
      </c>
      <c r="BC20">
        <v>27</v>
      </c>
      <c r="BD20">
        <v>30</v>
      </c>
      <c r="BE20">
        <v>3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 t="str">
        <f t="shared" si="15"/>
        <v>FMT</v>
      </c>
      <c r="BM20" t="str">
        <f t="shared" si="15"/>
        <v>C1MT</v>
      </c>
      <c r="BN20" t="str">
        <f t="shared" si="15"/>
        <v>SMT</v>
      </c>
      <c r="BO20" t="str">
        <f t="shared" si="15"/>
        <v>O3MT</v>
      </c>
      <c r="BQ20">
        <v>13</v>
      </c>
      <c r="BR20">
        <v>7</v>
      </c>
      <c r="BS20">
        <v>3</v>
      </c>
      <c r="BT20">
        <v>8</v>
      </c>
      <c r="BU20">
        <v>3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 t="str">
        <f t="shared" si="11"/>
        <v>O2MT</v>
      </c>
      <c r="CC20" t="str">
        <f t="shared" si="12"/>
        <v>C2MT</v>
      </c>
      <c r="CD20" t="str">
        <f t="shared" si="13"/>
        <v>C1MT</v>
      </c>
      <c r="CE20" t="str">
        <f t="shared" si="14"/>
        <v>HMT</v>
      </c>
    </row>
    <row r="21" spans="2:83" x14ac:dyDescent="0.25">
      <c r="B21">
        <v>6</v>
      </c>
      <c r="C21">
        <v>6.6000000000000003E-2</v>
      </c>
      <c r="D21">
        <v>3.5</v>
      </c>
      <c r="E21">
        <v>6</v>
      </c>
      <c r="F21">
        <v>12.010999999999999</v>
      </c>
      <c r="G21" t="s">
        <v>52</v>
      </c>
      <c r="Q21">
        <v>20</v>
      </c>
      <c r="R21">
        <v>15</v>
      </c>
      <c r="S21">
        <v>1</v>
      </c>
      <c r="T21">
        <v>0.109</v>
      </c>
      <c r="U21">
        <v>284512</v>
      </c>
      <c r="V21" t="str">
        <f t="shared" si="0"/>
        <v>HMT</v>
      </c>
      <c r="W21" t="str">
        <f t="shared" si="1"/>
        <v>C1MT</v>
      </c>
      <c r="AG21">
        <v>15</v>
      </c>
      <c r="AH21">
        <v>18</v>
      </c>
      <c r="AI21">
        <v>21</v>
      </c>
      <c r="AJ21">
        <v>1</v>
      </c>
      <c r="AK21">
        <v>108.6</v>
      </c>
      <c r="AL21">
        <v>418.4</v>
      </c>
      <c r="AM21" t="str">
        <f t="shared" si="4"/>
        <v>C1MT</v>
      </c>
      <c r="AN21" t="str">
        <f t="shared" si="5"/>
        <v>C1MT</v>
      </c>
      <c r="AO21" t="str">
        <f t="shared" si="6"/>
        <v>SMT</v>
      </c>
      <c r="AQ21">
        <v>3</v>
      </c>
      <c r="AR21">
        <v>7</v>
      </c>
      <c r="AS21">
        <v>13</v>
      </c>
      <c r="AT21">
        <v>1</v>
      </c>
      <c r="AU21">
        <v>120.4</v>
      </c>
      <c r="AV21">
        <v>669.44</v>
      </c>
      <c r="AW21" t="str">
        <f t="shared" si="7"/>
        <v>C1MT</v>
      </c>
      <c r="AX21" t="str">
        <f t="shared" si="8"/>
        <v>C2MT</v>
      </c>
      <c r="AY21" t="str">
        <f t="shared" si="9"/>
        <v>O2MT</v>
      </c>
      <c r="BA21">
        <v>33</v>
      </c>
      <c r="BB21">
        <v>28</v>
      </c>
      <c r="BC21">
        <v>27</v>
      </c>
      <c r="BD21">
        <v>29</v>
      </c>
      <c r="BE21">
        <v>3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 t="str">
        <f t="shared" si="15"/>
        <v>FMT</v>
      </c>
      <c r="BM21" t="str">
        <f t="shared" si="15"/>
        <v>C1MT</v>
      </c>
      <c r="BN21" t="str">
        <f t="shared" si="15"/>
        <v>SMT</v>
      </c>
      <c r="BO21" t="str">
        <f t="shared" si="15"/>
        <v>O3MT</v>
      </c>
      <c r="BQ21">
        <v>12</v>
      </c>
      <c r="BR21">
        <v>7</v>
      </c>
      <c r="BS21">
        <v>3</v>
      </c>
      <c r="BT21">
        <v>2</v>
      </c>
      <c r="BU21">
        <v>3</v>
      </c>
      <c r="BV21">
        <v>-1.157</v>
      </c>
      <c r="BW21">
        <v>-3.4710000000000001</v>
      </c>
      <c r="BX21">
        <v>0</v>
      </c>
      <c r="BY21">
        <v>4.6280000000000001</v>
      </c>
      <c r="BZ21">
        <v>0</v>
      </c>
      <c r="CA21">
        <v>0</v>
      </c>
      <c r="CB21" t="str">
        <f t="shared" si="11"/>
        <v>O1MT</v>
      </c>
      <c r="CC21" t="str">
        <f t="shared" si="12"/>
        <v>C2MT</v>
      </c>
      <c r="CD21" t="str">
        <f t="shared" si="13"/>
        <v>C1MT</v>
      </c>
      <c r="CE21" t="str">
        <f t="shared" si="14"/>
        <v>C1MT</v>
      </c>
    </row>
    <row r="22" spans="2:83" x14ac:dyDescent="0.25">
      <c r="B22">
        <v>14</v>
      </c>
      <c r="C22">
        <v>6.6000000000000003E-2</v>
      </c>
      <c r="D22">
        <v>3.5</v>
      </c>
      <c r="E22">
        <v>14</v>
      </c>
      <c r="F22">
        <v>12.010999999999999</v>
      </c>
      <c r="G22" t="s">
        <v>52</v>
      </c>
      <c r="Q22">
        <v>21</v>
      </c>
      <c r="R22">
        <v>18</v>
      </c>
      <c r="S22">
        <v>1</v>
      </c>
      <c r="T22">
        <v>0.17699999999999999</v>
      </c>
      <c r="U22">
        <v>284512</v>
      </c>
      <c r="V22" t="str">
        <f t="shared" si="0"/>
        <v>SMT</v>
      </c>
      <c r="W22" t="str">
        <f t="shared" si="1"/>
        <v>C1MT</v>
      </c>
      <c r="AG22">
        <v>15</v>
      </c>
      <c r="AH22">
        <v>18</v>
      </c>
      <c r="AI22">
        <v>22</v>
      </c>
      <c r="AJ22">
        <v>1</v>
      </c>
      <c r="AK22">
        <v>110.7</v>
      </c>
      <c r="AL22">
        <v>313.8</v>
      </c>
      <c r="AM22" t="str">
        <f t="shared" si="4"/>
        <v>C1MT</v>
      </c>
      <c r="AN22" t="str">
        <f t="shared" si="5"/>
        <v>C1MT</v>
      </c>
      <c r="AO22" t="str">
        <f t="shared" si="6"/>
        <v>HMT</v>
      </c>
      <c r="AQ22">
        <v>12</v>
      </c>
      <c r="AR22">
        <v>7</v>
      </c>
      <c r="AS22">
        <v>13</v>
      </c>
      <c r="AT22">
        <v>1</v>
      </c>
      <c r="AU22">
        <v>123.4</v>
      </c>
      <c r="AV22">
        <v>694.54399999999998</v>
      </c>
      <c r="AW22" t="str">
        <f t="shared" si="7"/>
        <v>O1MT</v>
      </c>
      <c r="AX22" t="str">
        <f t="shared" si="8"/>
        <v>C2MT</v>
      </c>
      <c r="AY22" t="str">
        <f t="shared" si="9"/>
        <v>O2MT</v>
      </c>
      <c r="BA22">
        <v>31</v>
      </c>
      <c r="BB22">
        <v>28</v>
      </c>
      <c r="BC22">
        <v>27</v>
      </c>
      <c r="BD22">
        <v>29</v>
      </c>
      <c r="BE22">
        <v>3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 t="str">
        <f t="shared" si="15"/>
        <v>FMT</v>
      </c>
      <c r="BM22" t="str">
        <f t="shared" si="15"/>
        <v>C1MT</v>
      </c>
      <c r="BN22" t="str">
        <f t="shared" si="15"/>
        <v>SMT</v>
      </c>
      <c r="BO22" t="str">
        <f t="shared" si="15"/>
        <v>O3MT</v>
      </c>
      <c r="BQ22">
        <v>12</v>
      </c>
      <c r="BR22">
        <v>7</v>
      </c>
      <c r="BS22">
        <v>3</v>
      </c>
      <c r="BT22">
        <v>8</v>
      </c>
      <c r="BU22">
        <v>3</v>
      </c>
      <c r="BV22">
        <v>0.27600000000000002</v>
      </c>
      <c r="BW22">
        <v>0.82799999999999996</v>
      </c>
      <c r="BX22">
        <v>0</v>
      </c>
      <c r="BY22">
        <v>-1.105</v>
      </c>
      <c r="BZ22">
        <v>0</v>
      </c>
      <c r="CA22">
        <v>0</v>
      </c>
      <c r="CB22" t="str">
        <f t="shared" si="11"/>
        <v>O1MT</v>
      </c>
      <c r="CC22" t="str">
        <f t="shared" si="12"/>
        <v>C2MT</v>
      </c>
      <c r="CD22" t="str">
        <f t="shared" si="13"/>
        <v>C1MT</v>
      </c>
      <c r="CE22" t="str">
        <f t="shared" si="14"/>
        <v>HMT</v>
      </c>
    </row>
    <row r="23" spans="2:83" x14ac:dyDescent="0.25">
      <c r="B23">
        <v>15</v>
      </c>
      <c r="C23">
        <v>6.6000000000000003E-2</v>
      </c>
      <c r="D23">
        <v>3.5</v>
      </c>
      <c r="E23">
        <v>15</v>
      </c>
      <c r="F23">
        <v>12.010999999999999</v>
      </c>
      <c r="G23" t="s">
        <v>52</v>
      </c>
      <c r="Q23">
        <v>22</v>
      </c>
      <c r="R23">
        <v>18</v>
      </c>
      <c r="S23">
        <v>1</v>
      </c>
      <c r="T23">
        <v>0.109</v>
      </c>
      <c r="U23">
        <v>284512</v>
      </c>
      <c r="V23" t="str">
        <f t="shared" si="0"/>
        <v>HMT</v>
      </c>
      <c r="W23" t="str">
        <f t="shared" si="1"/>
        <v>C1MT</v>
      </c>
      <c r="AG23">
        <v>15</v>
      </c>
      <c r="AH23">
        <v>18</v>
      </c>
      <c r="AI23">
        <v>23</v>
      </c>
      <c r="AJ23">
        <v>1</v>
      </c>
      <c r="AK23">
        <v>110.7</v>
      </c>
      <c r="AL23">
        <v>313.8</v>
      </c>
      <c r="AM23" t="str">
        <f t="shared" si="4"/>
        <v>C1MT</v>
      </c>
      <c r="AN23" t="str">
        <f t="shared" si="5"/>
        <v>C1MT</v>
      </c>
      <c r="AO23" t="str">
        <f t="shared" si="6"/>
        <v>HMT</v>
      </c>
      <c r="BA23">
        <v>31</v>
      </c>
      <c r="BB23">
        <v>28</v>
      </c>
      <c r="BC23">
        <v>27</v>
      </c>
      <c r="BD23">
        <v>30</v>
      </c>
      <c r="BE23">
        <v>3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 t="str">
        <f t="shared" si="15"/>
        <v>FMT</v>
      </c>
      <c r="BM23" t="str">
        <f t="shared" si="15"/>
        <v>C1MT</v>
      </c>
      <c r="BN23" t="str">
        <f t="shared" si="15"/>
        <v>SMT</v>
      </c>
      <c r="BO23" t="str">
        <f t="shared" si="15"/>
        <v>O3MT</v>
      </c>
      <c r="BQ23">
        <v>25</v>
      </c>
      <c r="BR23">
        <v>21</v>
      </c>
      <c r="BS23">
        <v>18</v>
      </c>
      <c r="BT23">
        <v>15</v>
      </c>
      <c r="BU23">
        <v>3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 t="str">
        <f t="shared" si="11"/>
        <v>O3MT</v>
      </c>
      <c r="CC23" t="str">
        <f t="shared" si="12"/>
        <v>SMT</v>
      </c>
      <c r="CD23" t="str">
        <f t="shared" si="13"/>
        <v>C1MT</v>
      </c>
      <c r="CE23" t="str">
        <f t="shared" si="14"/>
        <v>C1MT</v>
      </c>
    </row>
    <row r="24" spans="2:83" x14ac:dyDescent="0.25">
      <c r="B24">
        <v>18</v>
      </c>
      <c r="C24">
        <v>6.6000000000000003E-2</v>
      </c>
      <c r="D24">
        <v>3.5</v>
      </c>
      <c r="E24">
        <v>18</v>
      </c>
      <c r="F24">
        <v>12.010999999999999</v>
      </c>
      <c r="G24" t="s">
        <v>52</v>
      </c>
      <c r="Q24">
        <v>23</v>
      </c>
      <c r="R24">
        <v>18</v>
      </c>
      <c r="S24">
        <v>1</v>
      </c>
      <c r="T24">
        <v>0.109</v>
      </c>
      <c r="U24">
        <v>284512</v>
      </c>
      <c r="V24" t="str">
        <f t="shared" si="0"/>
        <v>HMT</v>
      </c>
      <c r="W24" t="str">
        <f t="shared" si="1"/>
        <v>C1MT</v>
      </c>
      <c r="AG24">
        <v>18</v>
      </c>
      <c r="AH24">
        <v>21</v>
      </c>
      <c r="AI24">
        <v>24</v>
      </c>
      <c r="AJ24">
        <v>1</v>
      </c>
      <c r="AK24">
        <v>104.36</v>
      </c>
      <c r="AL24">
        <v>658.31100000000004</v>
      </c>
      <c r="AM24" t="str">
        <f t="shared" si="4"/>
        <v>C1MT</v>
      </c>
      <c r="AN24" t="str">
        <f t="shared" si="5"/>
        <v>SMT</v>
      </c>
      <c r="AO24" t="str">
        <f t="shared" si="6"/>
        <v>NMT</v>
      </c>
      <c r="BA24">
        <v>32</v>
      </c>
      <c r="BB24">
        <v>28</v>
      </c>
      <c r="BC24">
        <v>27</v>
      </c>
      <c r="BD24">
        <v>29</v>
      </c>
      <c r="BE24">
        <v>3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 t="str">
        <f t="shared" si="15"/>
        <v>FMT</v>
      </c>
      <c r="BM24" t="str">
        <f t="shared" si="15"/>
        <v>C1MT</v>
      </c>
      <c r="BN24" t="str">
        <f t="shared" si="15"/>
        <v>SMT</v>
      </c>
      <c r="BO24" t="str">
        <f t="shared" si="15"/>
        <v>O3MT</v>
      </c>
      <c r="BQ24">
        <v>26</v>
      </c>
      <c r="BR24">
        <v>21</v>
      </c>
      <c r="BS24">
        <v>18</v>
      </c>
      <c r="BT24">
        <v>23</v>
      </c>
      <c r="BU24">
        <v>3</v>
      </c>
      <c r="BV24">
        <v>0.73199999999999998</v>
      </c>
      <c r="BW24">
        <v>2.1970000000000001</v>
      </c>
      <c r="BX24">
        <v>0</v>
      </c>
      <c r="BY24">
        <v>-2.9289999999999998</v>
      </c>
      <c r="BZ24">
        <v>0</v>
      </c>
      <c r="CA24">
        <v>0</v>
      </c>
      <c r="CB24" t="str">
        <f t="shared" si="11"/>
        <v>O3MT</v>
      </c>
      <c r="CC24" t="str">
        <f t="shared" si="12"/>
        <v>SMT</v>
      </c>
      <c r="CD24" t="str">
        <f t="shared" si="13"/>
        <v>C1MT</v>
      </c>
      <c r="CE24" t="str">
        <f t="shared" si="14"/>
        <v>HMT</v>
      </c>
    </row>
    <row r="25" spans="2:83" x14ac:dyDescent="0.25">
      <c r="B25">
        <v>28</v>
      </c>
      <c r="C25">
        <v>6.6000000000000003E-2</v>
      </c>
      <c r="D25">
        <v>3.5</v>
      </c>
      <c r="E25">
        <v>28</v>
      </c>
      <c r="F25">
        <v>12.010999999999999</v>
      </c>
      <c r="G25" t="s">
        <v>52</v>
      </c>
      <c r="Q25">
        <v>24</v>
      </c>
      <c r="R25">
        <v>21</v>
      </c>
      <c r="S25">
        <v>1</v>
      </c>
      <c r="T25">
        <v>0.17299999999999999</v>
      </c>
      <c r="U25">
        <v>209200</v>
      </c>
      <c r="V25" t="str">
        <f t="shared" si="0"/>
        <v>NMT</v>
      </c>
      <c r="W25" t="str">
        <f t="shared" si="1"/>
        <v>SMT</v>
      </c>
      <c r="AG25">
        <v>18</v>
      </c>
      <c r="AH25">
        <v>21</v>
      </c>
      <c r="AI25">
        <v>25</v>
      </c>
      <c r="AJ25">
        <v>1</v>
      </c>
      <c r="AK25">
        <v>108.9</v>
      </c>
      <c r="AL25">
        <v>619.23199999999997</v>
      </c>
      <c r="AM25" t="str">
        <f t="shared" si="4"/>
        <v>C1MT</v>
      </c>
      <c r="AN25" t="str">
        <f t="shared" si="5"/>
        <v>SMT</v>
      </c>
      <c r="AO25" t="str">
        <f t="shared" si="6"/>
        <v>O3MT</v>
      </c>
      <c r="BA25">
        <v>9</v>
      </c>
      <c r="BB25">
        <v>6</v>
      </c>
      <c r="BC25">
        <v>3</v>
      </c>
      <c r="BD25">
        <v>7</v>
      </c>
      <c r="BE25">
        <v>3</v>
      </c>
      <c r="BF25">
        <v>-0.20899999999999999</v>
      </c>
      <c r="BG25">
        <v>-0.628</v>
      </c>
      <c r="BH25">
        <v>0</v>
      </c>
      <c r="BI25">
        <v>0.83699999999999997</v>
      </c>
      <c r="BJ25">
        <v>0</v>
      </c>
      <c r="BK25">
        <v>0</v>
      </c>
      <c r="BL25" t="str">
        <f t="shared" si="15"/>
        <v>HMT</v>
      </c>
      <c r="BM25" t="str">
        <f t="shared" si="15"/>
        <v>C1MT</v>
      </c>
      <c r="BN25" t="str">
        <f t="shared" si="15"/>
        <v>C1MT</v>
      </c>
      <c r="BO25" t="str">
        <f t="shared" si="15"/>
        <v>C2MT</v>
      </c>
      <c r="BQ25">
        <v>29</v>
      </c>
      <c r="BR25">
        <v>27</v>
      </c>
      <c r="BS25">
        <v>24</v>
      </c>
      <c r="BT25">
        <v>21</v>
      </c>
      <c r="BU25">
        <v>3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 t="str">
        <f t="shared" si="11"/>
        <v>O3MT</v>
      </c>
      <c r="CC25" t="str">
        <f t="shared" si="12"/>
        <v>SMT</v>
      </c>
      <c r="CD25" t="str">
        <f t="shared" si="13"/>
        <v>NMT</v>
      </c>
      <c r="CE25" t="str">
        <f t="shared" si="14"/>
        <v>SMT</v>
      </c>
    </row>
    <row r="26" spans="2:83" x14ac:dyDescent="0.25">
      <c r="B26">
        <v>7</v>
      </c>
      <c r="C26">
        <v>7.0000000000000007E-2</v>
      </c>
      <c r="D26">
        <v>3.55</v>
      </c>
      <c r="E26">
        <v>7</v>
      </c>
      <c r="F26">
        <v>12.010999999999999</v>
      </c>
      <c r="G26" t="s">
        <v>53</v>
      </c>
      <c r="Q26">
        <v>25</v>
      </c>
      <c r="R26">
        <v>21</v>
      </c>
      <c r="S26">
        <v>1</v>
      </c>
      <c r="T26">
        <v>0.14399999999999999</v>
      </c>
      <c r="U26">
        <v>585760</v>
      </c>
      <c r="V26" t="str">
        <f t="shared" si="0"/>
        <v>O3MT</v>
      </c>
      <c r="W26" t="str">
        <f t="shared" si="1"/>
        <v>SMT</v>
      </c>
      <c r="AG26">
        <v>18</v>
      </c>
      <c r="AH26">
        <v>21</v>
      </c>
      <c r="AI26">
        <v>26</v>
      </c>
      <c r="AJ26">
        <v>1</v>
      </c>
      <c r="AK26">
        <v>108.9</v>
      </c>
      <c r="AL26">
        <v>619.23199999999997</v>
      </c>
      <c r="AM26" t="str">
        <f t="shared" si="4"/>
        <v>C1MT</v>
      </c>
      <c r="AN26" t="str">
        <f t="shared" si="5"/>
        <v>SMT</v>
      </c>
      <c r="AO26" t="str">
        <f t="shared" si="6"/>
        <v>O3MT</v>
      </c>
      <c r="BA26">
        <v>10</v>
      </c>
      <c r="BB26">
        <v>6</v>
      </c>
      <c r="BC26">
        <v>3</v>
      </c>
      <c r="BD26">
        <v>7</v>
      </c>
      <c r="BE26">
        <v>3</v>
      </c>
      <c r="BF26">
        <v>-0.20899999999999999</v>
      </c>
      <c r="BG26">
        <v>-0.628</v>
      </c>
      <c r="BH26">
        <v>0</v>
      </c>
      <c r="BI26">
        <v>0.83699999999999997</v>
      </c>
      <c r="BJ26">
        <v>0</v>
      </c>
      <c r="BK26">
        <v>0</v>
      </c>
      <c r="BL26" t="str">
        <f t="shared" si="15"/>
        <v>HMT</v>
      </c>
      <c r="BM26" t="str">
        <f t="shared" si="15"/>
        <v>C1MT</v>
      </c>
      <c r="BN26" t="str">
        <f t="shared" si="15"/>
        <v>C1MT</v>
      </c>
      <c r="BO26" t="str">
        <f t="shared" si="15"/>
        <v>C2MT</v>
      </c>
      <c r="BQ26">
        <v>21</v>
      </c>
      <c r="BR26">
        <v>18</v>
      </c>
      <c r="BS26">
        <v>15</v>
      </c>
      <c r="BT26">
        <v>14</v>
      </c>
      <c r="BU26">
        <v>3</v>
      </c>
      <c r="BV26">
        <v>2.7839999999999998</v>
      </c>
      <c r="BW26">
        <v>0.27800000000000002</v>
      </c>
      <c r="BX26">
        <v>0.82799999999999996</v>
      </c>
      <c r="BY26">
        <v>-3.891</v>
      </c>
      <c r="BZ26">
        <v>0</v>
      </c>
      <c r="CA26">
        <v>0</v>
      </c>
      <c r="CB26" t="str">
        <f t="shared" si="11"/>
        <v>SMT</v>
      </c>
      <c r="CC26" t="str">
        <f t="shared" si="12"/>
        <v>C1MT</v>
      </c>
      <c r="CD26" t="str">
        <f t="shared" si="13"/>
        <v>C1MT</v>
      </c>
      <c r="CE26" t="str">
        <f t="shared" si="14"/>
        <v>C1MT</v>
      </c>
    </row>
    <row r="27" spans="2:83" x14ac:dyDescent="0.25">
      <c r="B27">
        <v>12</v>
      </c>
      <c r="C27">
        <v>0.14000000000000001</v>
      </c>
      <c r="D27">
        <v>2.9</v>
      </c>
      <c r="E27">
        <v>12</v>
      </c>
      <c r="F27">
        <v>15.999000000000001</v>
      </c>
      <c r="G27" t="s">
        <v>56</v>
      </c>
      <c r="Q27">
        <v>26</v>
      </c>
      <c r="R27">
        <v>21</v>
      </c>
      <c r="S27">
        <v>1</v>
      </c>
      <c r="T27">
        <v>0.14399999999999999</v>
      </c>
      <c r="U27">
        <v>585760</v>
      </c>
      <c r="V27" t="str">
        <f t="shared" si="0"/>
        <v>O3MT</v>
      </c>
      <c r="W27" t="str">
        <f t="shared" si="1"/>
        <v>SMT</v>
      </c>
      <c r="AG27">
        <v>21</v>
      </c>
      <c r="AH27">
        <v>24</v>
      </c>
      <c r="AI27">
        <v>27</v>
      </c>
      <c r="AJ27">
        <v>1</v>
      </c>
      <c r="AK27">
        <v>116.57</v>
      </c>
      <c r="AL27">
        <v>504.25599999999997</v>
      </c>
      <c r="AM27" t="str">
        <f t="shared" si="4"/>
        <v>SMT</v>
      </c>
      <c r="AN27" t="str">
        <f t="shared" si="5"/>
        <v>NMT</v>
      </c>
      <c r="AO27" t="str">
        <f t="shared" si="6"/>
        <v>SMT</v>
      </c>
      <c r="BA27">
        <v>11</v>
      </c>
      <c r="BB27">
        <v>6</v>
      </c>
      <c r="BC27">
        <v>3</v>
      </c>
      <c r="BD27">
        <v>7</v>
      </c>
      <c r="BE27">
        <v>3</v>
      </c>
      <c r="BF27">
        <v>-0.20899999999999999</v>
      </c>
      <c r="BG27">
        <v>-0.628</v>
      </c>
      <c r="BH27">
        <v>0</v>
      </c>
      <c r="BI27">
        <v>0.83699999999999997</v>
      </c>
      <c r="BJ27">
        <v>0</v>
      </c>
      <c r="BK27">
        <v>0</v>
      </c>
      <c r="BL27" t="str">
        <f t="shared" si="15"/>
        <v>HMT</v>
      </c>
      <c r="BM27" t="str">
        <f t="shared" si="15"/>
        <v>C1MT</v>
      </c>
      <c r="BN27" t="str">
        <f t="shared" si="15"/>
        <v>C1MT</v>
      </c>
      <c r="BO27" t="str">
        <f t="shared" si="15"/>
        <v>C2MT</v>
      </c>
      <c r="BQ27">
        <v>21</v>
      </c>
      <c r="BR27">
        <v>18</v>
      </c>
      <c r="BS27">
        <v>15</v>
      </c>
      <c r="BT27">
        <v>19</v>
      </c>
      <c r="BU27">
        <v>3</v>
      </c>
      <c r="BV27">
        <v>0.94599999999999995</v>
      </c>
      <c r="BW27">
        <v>2.8370000000000002</v>
      </c>
      <c r="BX27">
        <v>0</v>
      </c>
      <c r="BY27">
        <v>-3.782</v>
      </c>
      <c r="BZ27">
        <v>0</v>
      </c>
      <c r="CA27">
        <v>0</v>
      </c>
      <c r="CB27" t="str">
        <f t="shared" si="11"/>
        <v>SMT</v>
      </c>
      <c r="CC27" t="str">
        <f t="shared" si="12"/>
        <v>C1MT</v>
      </c>
      <c r="CD27" t="str">
        <f t="shared" si="13"/>
        <v>C1MT</v>
      </c>
      <c r="CE27" t="str">
        <f t="shared" si="14"/>
        <v>HMT</v>
      </c>
    </row>
    <row r="28" spans="2:83" x14ac:dyDescent="0.25">
      <c r="B28">
        <v>24</v>
      </c>
      <c r="C28">
        <v>0.17</v>
      </c>
      <c r="D28">
        <v>3.25</v>
      </c>
      <c r="E28">
        <v>24</v>
      </c>
      <c r="F28">
        <v>14.007</v>
      </c>
      <c r="G28" t="s">
        <v>54</v>
      </c>
      <c r="Q28">
        <v>27</v>
      </c>
      <c r="R28">
        <v>24</v>
      </c>
      <c r="S28">
        <v>1</v>
      </c>
      <c r="T28">
        <v>0.17299999999999999</v>
      </c>
      <c r="U28">
        <v>209200</v>
      </c>
      <c r="V28" t="str">
        <f t="shared" si="0"/>
        <v>SMT</v>
      </c>
      <c r="W28" t="str">
        <f t="shared" si="1"/>
        <v>NMT</v>
      </c>
      <c r="AG28">
        <v>24</v>
      </c>
      <c r="AH28">
        <v>27</v>
      </c>
      <c r="AI28">
        <v>28</v>
      </c>
      <c r="AJ28">
        <v>1</v>
      </c>
      <c r="AK28">
        <v>104.36</v>
      </c>
      <c r="AL28">
        <v>658.31100000000004</v>
      </c>
      <c r="AM28" t="str">
        <f t="shared" si="4"/>
        <v>NMT</v>
      </c>
      <c r="AN28" t="str">
        <f t="shared" si="5"/>
        <v>SMT</v>
      </c>
      <c r="AO28" t="str">
        <f t="shared" si="6"/>
        <v>C1MT</v>
      </c>
      <c r="BA28">
        <v>10</v>
      </c>
      <c r="BB28">
        <v>6</v>
      </c>
      <c r="BC28">
        <v>3</v>
      </c>
      <c r="BD28">
        <v>2</v>
      </c>
      <c r="BE28">
        <v>3</v>
      </c>
      <c r="BF28">
        <v>0.628</v>
      </c>
      <c r="BG28">
        <v>1.883</v>
      </c>
      <c r="BH28">
        <v>0</v>
      </c>
      <c r="BI28">
        <v>-2.5099999999999998</v>
      </c>
      <c r="BJ28">
        <v>0</v>
      </c>
      <c r="BK28">
        <v>0</v>
      </c>
      <c r="BL28" t="str">
        <f t="shared" si="15"/>
        <v>HMT</v>
      </c>
      <c r="BM28" t="str">
        <f t="shared" si="15"/>
        <v>C1MT</v>
      </c>
      <c r="BN28" t="str">
        <f t="shared" si="15"/>
        <v>C1MT</v>
      </c>
      <c r="BO28" t="str">
        <f t="shared" si="15"/>
        <v>C1MT</v>
      </c>
      <c r="BQ28">
        <v>27</v>
      </c>
      <c r="BR28">
        <v>24</v>
      </c>
      <c r="BS28">
        <v>21</v>
      </c>
      <c r="BT28">
        <v>18</v>
      </c>
      <c r="BU28">
        <v>3</v>
      </c>
      <c r="BV28">
        <v>-15.611000000000001</v>
      </c>
      <c r="BW28">
        <v>0.70299999999999996</v>
      </c>
      <c r="BX28">
        <v>20.506</v>
      </c>
      <c r="BY28">
        <v>-5.5979999999999999</v>
      </c>
      <c r="BZ28">
        <v>0</v>
      </c>
      <c r="CA28">
        <v>0</v>
      </c>
      <c r="CB28" t="str">
        <f t="shared" si="11"/>
        <v>SMT</v>
      </c>
      <c r="CC28" t="str">
        <f t="shared" si="12"/>
        <v>NMT</v>
      </c>
      <c r="CD28" t="str">
        <f t="shared" si="13"/>
        <v>SMT</v>
      </c>
      <c r="CE28" t="str">
        <f t="shared" si="14"/>
        <v>C1MT</v>
      </c>
    </row>
    <row r="29" spans="2:83" x14ac:dyDescent="0.25">
      <c r="B29">
        <v>25</v>
      </c>
      <c r="C29">
        <v>0.17</v>
      </c>
      <c r="D29">
        <v>2.96</v>
      </c>
      <c r="E29">
        <v>25</v>
      </c>
      <c r="F29">
        <v>15.999000000000001</v>
      </c>
      <c r="G29" t="s">
        <v>55</v>
      </c>
      <c r="Q29">
        <v>28</v>
      </c>
      <c r="R29">
        <v>27</v>
      </c>
      <c r="S29">
        <v>1</v>
      </c>
      <c r="T29">
        <v>0.17699999999999999</v>
      </c>
      <c r="U29">
        <v>284512</v>
      </c>
      <c r="V29" t="str">
        <f t="shared" si="0"/>
        <v>C1MT</v>
      </c>
      <c r="W29" t="str">
        <f t="shared" si="1"/>
        <v>SMT</v>
      </c>
      <c r="AG29">
        <v>24</v>
      </c>
      <c r="AH29">
        <v>27</v>
      </c>
      <c r="AI29">
        <v>29</v>
      </c>
      <c r="AJ29">
        <v>1</v>
      </c>
      <c r="AK29">
        <v>104.36</v>
      </c>
      <c r="AL29">
        <v>658.31100000000004</v>
      </c>
      <c r="AM29" t="str">
        <f t="shared" si="4"/>
        <v>NMT</v>
      </c>
      <c r="AN29" t="str">
        <f t="shared" si="5"/>
        <v>SMT</v>
      </c>
      <c r="AO29" t="str">
        <f t="shared" si="6"/>
        <v>O3MT</v>
      </c>
      <c r="BA29">
        <v>22</v>
      </c>
      <c r="BB29">
        <v>18</v>
      </c>
      <c r="BC29">
        <v>15</v>
      </c>
      <c r="BD29">
        <v>14</v>
      </c>
      <c r="BE29">
        <v>3</v>
      </c>
      <c r="BF29">
        <v>0.628</v>
      </c>
      <c r="BG29">
        <v>1.883</v>
      </c>
      <c r="BH29">
        <v>0</v>
      </c>
      <c r="BI29">
        <v>-2.5099999999999998</v>
      </c>
      <c r="BJ29">
        <v>0</v>
      </c>
      <c r="BK29">
        <v>0</v>
      </c>
      <c r="BL29" t="str">
        <f t="shared" si="15"/>
        <v>HMT</v>
      </c>
      <c r="BM29" t="str">
        <f t="shared" si="15"/>
        <v>C1MT</v>
      </c>
      <c r="BN29" t="str">
        <f t="shared" si="15"/>
        <v>C1MT</v>
      </c>
      <c r="BO29" t="str">
        <f t="shared" si="15"/>
        <v>C1MT</v>
      </c>
      <c r="BQ29">
        <v>27</v>
      </c>
      <c r="BR29">
        <v>24</v>
      </c>
      <c r="BS29">
        <v>21</v>
      </c>
      <c r="BT29">
        <v>26</v>
      </c>
      <c r="BU29">
        <v>3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 t="str">
        <f t="shared" si="11"/>
        <v>SMT</v>
      </c>
      <c r="CC29" t="str">
        <f t="shared" si="12"/>
        <v>NMT</v>
      </c>
      <c r="CD29" t="str">
        <f t="shared" si="13"/>
        <v>SMT</v>
      </c>
      <c r="CE29" t="str">
        <f t="shared" si="14"/>
        <v>O3MT</v>
      </c>
    </row>
    <row r="30" spans="2:83" x14ac:dyDescent="0.25">
      <c r="B30">
        <v>26</v>
      </c>
      <c r="C30">
        <v>0.17</v>
      </c>
      <c r="D30">
        <v>2.96</v>
      </c>
      <c r="E30">
        <v>26</v>
      </c>
      <c r="F30">
        <v>15.999000000000001</v>
      </c>
      <c r="G30" t="s">
        <v>55</v>
      </c>
      <c r="Q30">
        <v>29</v>
      </c>
      <c r="R30">
        <v>27</v>
      </c>
      <c r="S30">
        <v>1</v>
      </c>
      <c r="T30">
        <v>0.14399999999999999</v>
      </c>
      <c r="U30">
        <v>585760</v>
      </c>
      <c r="V30" t="str">
        <f t="shared" si="0"/>
        <v>O3MT</v>
      </c>
      <c r="W30" t="str">
        <f t="shared" si="1"/>
        <v>SMT</v>
      </c>
      <c r="AG30">
        <v>24</v>
      </c>
      <c r="AH30">
        <v>27</v>
      </c>
      <c r="AI30">
        <v>30</v>
      </c>
      <c r="AJ30">
        <v>1</v>
      </c>
      <c r="AK30">
        <v>104.36</v>
      </c>
      <c r="AL30">
        <v>658.31100000000004</v>
      </c>
      <c r="AM30" t="str">
        <f t="shared" si="4"/>
        <v>NMT</v>
      </c>
      <c r="AN30" t="str">
        <f t="shared" si="5"/>
        <v>SMT</v>
      </c>
      <c r="AO30" t="str">
        <f t="shared" si="6"/>
        <v>O3MT</v>
      </c>
      <c r="BA30">
        <v>23</v>
      </c>
      <c r="BB30">
        <v>18</v>
      </c>
      <c r="BC30">
        <v>15</v>
      </c>
      <c r="BD30">
        <v>14</v>
      </c>
      <c r="BE30">
        <v>3</v>
      </c>
      <c r="BF30">
        <v>0.628</v>
      </c>
      <c r="BG30">
        <v>1.883</v>
      </c>
      <c r="BH30">
        <v>0</v>
      </c>
      <c r="BI30">
        <v>-2.5099999999999998</v>
      </c>
      <c r="BJ30">
        <v>0</v>
      </c>
      <c r="BK30">
        <v>0</v>
      </c>
      <c r="BL30" t="str">
        <f t="shared" si="15"/>
        <v>HMT</v>
      </c>
      <c r="BM30" t="str">
        <f t="shared" si="15"/>
        <v>C1MT</v>
      </c>
      <c r="BN30" t="str">
        <f t="shared" si="15"/>
        <v>C1MT</v>
      </c>
      <c r="BO30" t="str">
        <f t="shared" si="15"/>
        <v>C1MT</v>
      </c>
    </row>
    <row r="31" spans="2:83" x14ac:dyDescent="0.25">
      <c r="B31">
        <v>29</v>
      </c>
      <c r="C31">
        <v>0.17</v>
      </c>
      <c r="D31">
        <v>2.96</v>
      </c>
      <c r="E31">
        <v>29</v>
      </c>
      <c r="F31">
        <v>15.999000000000001</v>
      </c>
      <c r="G31" t="s">
        <v>55</v>
      </c>
      <c r="Q31">
        <v>30</v>
      </c>
      <c r="R31">
        <v>27</v>
      </c>
      <c r="S31">
        <v>1</v>
      </c>
      <c r="T31">
        <v>0.14399999999999999</v>
      </c>
      <c r="U31">
        <v>585760</v>
      </c>
      <c r="V31" t="str">
        <f t="shared" si="0"/>
        <v>O3MT</v>
      </c>
      <c r="W31" t="str">
        <f t="shared" si="1"/>
        <v>SMT</v>
      </c>
      <c r="AG31">
        <v>27</v>
      </c>
      <c r="AH31">
        <v>28</v>
      </c>
      <c r="AI31">
        <v>31</v>
      </c>
      <c r="AJ31">
        <v>1</v>
      </c>
      <c r="AK31">
        <v>109.5</v>
      </c>
      <c r="AL31">
        <v>418.4</v>
      </c>
      <c r="AM31" t="str">
        <f t="shared" si="4"/>
        <v>SMT</v>
      </c>
      <c r="AN31" t="str">
        <f t="shared" si="5"/>
        <v>C1MT</v>
      </c>
      <c r="AO31" t="str">
        <f t="shared" si="6"/>
        <v>FMT</v>
      </c>
      <c r="BA31">
        <v>11</v>
      </c>
      <c r="BB31">
        <v>6</v>
      </c>
      <c r="BC31">
        <v>3</v>
      </c>
      <c r="BD31">
        <v>2</v>
      </c>
      <c r="BE31">
        <v>3</v>
      </c>
      <c r="BF31">
        <v>0.628</v>
      </c>
      <c r="BG31">
        <v>1.883</v>
      </c>
      <c r="BH31">
        <v>0</v>
      </c>
      <c r="BI31">
        <v>-2.5099999999999998</v>
      </c>
      <c r="BJ31">
        <v>0</v>
      </c>
      <c r="BK31">
        <v>0</v>
      </c>
      <c r="BL31" t="str">
        <f t="shared" si="15"/>
        <v>HMT</v>
      </c>
      <c r="BM31" t="str">
        <f t="shared" si="15"/>
        <v>C1MT</v>
      </c>
      <c r="BN31" t="str">
        <f t="shared" si="15"/>
        <v>C1MT</v>
      </c>
      <c r="BO31" t="str">
        <f t="shared" si="15"/>
        <v>C1MT</v>
      </c>
    </row>
    <row r="32" spans="2:83" x14ac:dyDescent="0.25">
      <c r="B32">
        <v>30</v>
      </c>
      <c r="C32">
        <v>0.17</v>
      </c>
      <c r="D32">
        <v>2.96</v>
      </c>
      <c r="E32">
        <v>30</v>
      </c>
      <c r="F32">
        <v>15.999000000000001</v>
      </c>
      <c r="G32" t="s">
        <v>55</v>
      </c>
      <c r="Q32">
        <v>31</v>
      </c>
      <c r="R32">
        <v>28</v>
      </c>
      <c r="S32">
        <v>1</v>
      </c>
      <c r="T32">
        <v>0.13600000000000001</v>
      </c>
      <c r="U32">
        <v>307105.59999999998</v>
      </c>
      <c r="V32" t="str">
        <f t="shared" si="0"/>
        <v>FMT</v>
      </c>
      <c r="W32" t="str">
        <f t="shared" si="1"/>
        <v>C1MT</v>
      </c>
      <c r="AG32">
        <v>27</v>
      </c>
      <c r="AH32">
        <v>28</v>
      </c>
      <c r="AI32">
        <v>32</v>
      </c>
      <c r="AJ32">
        <v>1</v>
      </c>
      <c r="AK32">
        <v>109.5</v>
      </c>
      <c r="AL32">
        <v>418.4</v>
      </c>
      <c r="AM32" t="str">
        <f t="shared" si="4"/>
        <v>SMT</v>
      </c>
      <c r="AN32" t="str">
        <f t="shared" si="5"/>
        <v>C1MT</v>
      </c>
      <c r="AO32" t="str">
        <f t="shared" si="6"/>
        <v>FMT</v>
      </c>
      <c r="BA32">
        <v>9</v>
      </c>
      <c r="BB32">
        <v>6</v>
      </c>
      <c r="BC32">
        <v>3</v>
      </c>
      <c r="BD32">
        <v>2</v>
      </c>
      <c r="BE32">
        <v>3</v>
      </c>
      <c r="BF32">
        <v>0.628</v>
      </c>
      <c r="BG32">
        <v>1.883</v>
      </c>
      <c r="BH32">
        <v>0</v>
      </c>
      <c r="BI32">
        <v>-2.5099999999999998</v>
      </c>
      <c r="BJ32">
        <v>0</v>
      </c>
      <c r="BK32">
        <v>0</v>
      </c>
      <c r="BL32" t="str">
        <f t="shared" si="15"/>
        <v>HMT</v>
      </c>
      <c r="BM32" t="str">
        <f t="shared" si="15"/>
        <v>C1MT</v>
      </c>
      <c r="BN32" t="str">
        <f t="shared" si="15"/>
        <v>C1MT</v>
      </c>
      <c r="BO32" t="str">
        <f t="shared" si="15"/>
        <v>C1MT</v>
      </c>
    </row>
    <row r="33" spans="2:67" x14ac:dyDescent="0.25">
      <c r="B33">
        <v>13</v>
      </c>
      <c r="C33">
        <v>0.21</v>
      </c>
      <c r="D33">
        <v>2.96</v>
      </c>
      <c r="E33">
        <v>13</v>
      </c>
      <c r="F33">
        <v>15.999000000000001</v>
      </c>
      <c r="G33" t="s">
        <v>57</v>
      </c>
      <c r="Q33">
        <v>32</v>
      </c>
      <c r="R33">
        <v>28</v>
      </c>
      <c r="S33">
        <v>1</v>
      </c>
      <c r="T33">
        <v>0.13600000000000001</v>
      </c>
      <c r="U33">
        <v>307105.59999999998</v>
      </c>
      <c r="V33" t="str">
        <f t="shared" si="0"/>
        <v>FMT</v>
      </c>
      <c r="W33" t="str">
        <f t="shared" si="1"/>
        <v>C1MT</v>
      </c>
      <c r="AG33">
        <v>27</v>
      </c>
      <c r="AH33">
        <v>28</v>
      </c>
      <c r="AI33">
        <v>33</v>
      </c>
      <c r="AJ33">
        <v>1</v>
      </c>
      <c r="AK33">
        <v>109.5</v>
      </c>
      <c r="AL33">
        <v>418.4</v>
      </c>
      <c r="AM33" t="str">
        <f t="shared" si="4"/>
        <v>SMT</v>
      </c>
      <c r="AN33" t="str">
        <f t="shared" si="5"/>
        <v>C1MT</v>
      </c>
      <c r="AO33" t="str">
        <f t="shared" si="6"/>
        <v>FMT</v>
      </c>
      <c r="BA33">
        <v>23</v>
      </c>
      <c r="BB33">
        <v>18</v>
      </c>
      <c r="BC33">
        <v>15</v>
      </c>
      <c r="BD33">
        <v>20</v>
      </c>
      <c r="BE33">
        <v>3</v>
      </c>
      <c r="BF33">
        <v>0.628</v>
      </c>
      <c r="BG33">
        <v>1.883</v>
      </c>
      <c r="BH33">
        <v>0</v>
      </c>
      <c r="BI33">
        <v>-2.5099999999999998</v>
      </c>
      <c r="BJ33">
        <v>0</v>
      </c>
      <c r="BK33">
        <v>0</v>
      </c>
      <c r="BL33" t="str">
        <f t="shared" si="15"/>
        <v>HMT</v>
      </c>
      <c r="BM33" t="str">
        <f t="shared" si="15"/>
        <v>C1MT</v>
      </c>
      <c r="BN33" t="str">
        <f t="shared" si="15"/>
        <v>C1MT</v>
      </c>
      <c r="BO33" t="str">
        <f t="shared" si="15"/>
        <v>HMT</v>
      </c>
    </row>
    <row r="34" spans="2:67" x14ac:dyDescent="0.25">
      <c r="B34">
        <v>21</v>
      </c>
      <c r="C34">
        <v>0.25</v>
      </c>
      <c r="D34">
        <v>3.55</v>
      </c>
      <c r="E34">
        <v>21</v>
      </c>
      <c r="F34">
        <v>32.06</v>
      </c>
      <c r="G34" t="s">
        <v>51</v>
      </c>
      <c r="Q34">
        <v>33</v>
      </c>
      <c r="R34">
        <v>28</v>
      </c>
      <c r="S34">
        <v>1</v>
      </c>
      <c r="T34">
        <v>0.13600000000000001</v>
      </c>
      <c r="U34">
        <v>307105.59999999998</v>
      </c>
      <c r="V34" t="str">
        <f t="shared" si="0"/>
        <v>FMT</v>
      </c>
      <c r="W34" t="str">
        <f t="shared" si="1"/>
        <v>C1MT</v>
      </c>
      <c r="AG34">
        <v>24</v>
      </c>
      <c r="AH34">
        <v>21</v>
      </c>
      <c r="AI34">
        <v>26</v>
      </c>
      <c r="AJ34">
        <v>1</v>
      </c>
      <c r="AK34">
        <v>104.36</v>
      </c>
      <c r="AL34">
        <v>658.31100000000004</v>
      </c>
      <c r="AM34" t="str">
        <f t="shared" si="4"/>
        <v>NMT</v>
      </c>
      <c r="AN34" t="str">
        <f t="shared" si="5"/>
        <v>SMT</v>
      </c>
      <c r="AO34" t="str">
        <f t="shared" si="6"/>
        <v>O3MT</v>
      </c>
      <c r="BA34">
        <v>8</v>
      </c>
      <c r="BB34">
        <v>3</v>
      </c>
      <c r="BC34">
        <v>2</v>
      </c>
      <c r="BD34">
        <v>5</v>
      </c>
      <c r="BE34">
        <v>3</v>
      </c>
      <c r="BF34">
        <v>0.628</v>
      </c>
      <c r="BG34">
        <v>1.883</v>
      </c>
      <c r="BH34">
        <v>0</v>
      </c>
      <c r="BI34">
        <v>-2.5099999999999998</v>
      </c>
      <c r="BJ34">
        <v>0</v>
      </c>
      <c r="BK34">
        <v>0</v>
      </c>
      <c r="BL34" t="str">
        <f t="shared" si="15"/>
        <v>HMT</v>
      </c>
      <c r="BM34" t="str">
        <f t="shared" si="15"/>
        <v>C1MT</v>
      </c>
      <c r="BN34" t="str">
        <f t="shared" si="15"/>
        <v>C1MT</v>
      </c>
      <c r="BO34" t="str">
        <f t="shared" si="15"/>
        <v>HMT</v>
      </c>
    </row>
    <row r="35" spans="2:67" x14ac:dyDescent="0.25">
      <c r="B35">
        <v>27</v>
      </c>
      <c r="C35">
        <v>0.25</v>
      </c>
      <c r="D35">
        <v>3.55</v>
      </c>
      <c r="E35">
        <v>27</v>
      </c>
      <c r="F35">
        <v>32.06</v>
      </c>
      <c r="G35" t="s">
        <v>51</v>
      </c>
      <c r="AG35">
        <v>19</v>
      </c>
      <c r="AH35">
        <v>15</v>
      </c>
      <c r="AI35">
        <v>20</v>
      </c>
      <c r="AJ35">
        <v>1</v>
      </c>
      <c r="AK35">
        <v>107.8</v>
      </c>
      <c r="AL35">
        <v>276.14400000000001</v>
      </c>
      <c r="AM35" t="str">
        <f t="shared" ref="AM35:AM61" si="16">_xlfn.XLOOKUP(AG35,$B$3:$B$35,$G$3:$G$35)</f>
        <v>HMT</v>
      </c>
      <c r="AN35" t="str">
        <f t="shared" ref="AN35:AN61" si="17">_xlfn.XLOOKUP(AH35,$B$3:$B$35,$G$3:$G$35)</f>
        <v>C1MT</v>
      </c>
      <c r="AO35" t="str">
        <f t="shared" ref="AO35:AO61" si="18">_xlfn.XLOOKUP(AI35,$B$3:$B$35,$G$3:$G$35)</f>
        <v>HMT</v>
      </c>
      <c r="BA35">
        <v>20</v>
      </c>
      <c r="BB35">
        <v>15</v>
      </c>
      <c r="BC35">
        <v>14</v>
      </c>
      <c r="BD35">
        <v>17</v>
      </c>
      <c r="BE35">
        <v>3</v>
      </c>
      <c r="BF35">
        <v>0.628</v>
      </c>
      <c r="BG35">
        <v>1.883</v>
      </c>
      <c r="BH35">
        <v>0</v>
      </c>
      <c r="BI35">
        <v>-2.5099999999999998</v>
      </c>
      <c r="BJ35">
        <v>0</v>
      </c>
      <c r="BK35">
        <v>0</v>
      </c>
      <c r="BL35" t="str">
        <f t="shared" si="15"/>
        <v>HMT</v>
      </c>
      <c r="BM35" t="str">
        <f t="shared" si="15"/>
        <v>C1MT</v>
      </c>
      <c r="BN35" t="str">
        <f t="shared" si="15"/>
        <v>C1MT</v>
      </c>
      <c r="BO35" t="str">
        <f t="shared" si="15"/>
        <v>HMT</v>
      </c>
    </row>
    <row r="36" spans="2:67" x14ac:dyDescent="0.25">
      <c r="AG36">
        <v>18</v>
      </c>
      <c r="AH36">
        <v>15</v>
      </c>
      <c r="AI36">
        <v>19</v>
      </c>
      <c r="AJ36">
        <v>1</v>
      </c>
      <c r="AK36">
        <v>110.7</v>
      </c>
      <c r="AL36">
        <v>313.8</v>
      </c>
      <c r="AM36" t="str">
        <f t="shared" si="16"/>
        <v>C1MT</v>
      </c>
      <c r="AN36" t="str">
        <f t="shared" si="17"/>
        <v>C1MT</v>
      </c>
      <c r="AO36" t="str">
        <f t="shared" si="18"/>
        <v>HMT</v>
      </c>
      <c r="BA36">
        <v>19</v>
      </c>
      <c r="BB36">
        <v>15</v>
      </c>
      <c r="BC36">
        <v>14</v>
      </c>
      <c r="BD36">
        <v>16</v>
      </c>
      <c r="BE36">
        <v>3</v>
      </c>
      <c r="BF36">
        <v>0.628</v>
      </c>
      <c r="BG36">
        <v>1.883</v>
      </c>
      <c r="BH36">
        <v>0</v>
      </c>
      <c r="BI36">
        <v>-2.5099999999999998</v>
      </c>
      <c r="BJ36">
        <v>0</v>
      </c>
      <c r="BK36">
        <v>0</v>
      </c>
      <c r="BL36" t="str">
        <f t="shared" si="15"/>
        <v>HMT</v>
      </c>
      <c r="BM36" t="str">
        <f t="shared" si="15"/>
        <v>C1MT</v>
      </c>
      <c r="BN36" t="str">
        <f t="shared" si="15"/>
        <v>C1MT</v>
      </c>
      <c r="BO36" t="str">
        <f t="shared" si="15"/>
        <v>HMT</v>
      </c>
    </row>
    <row r="37" spans="2:67" x14ac:dyDescent="0.25">
      <c r="AG37">
        <v>32</v>
      </c>
      <c r="AH37">
        <v>28</v>
      </c>
      <c r="AI37">
        <v>33</v>
      </c>
      <c r="AJ37">
        <v>1</v>
      </c>
      <c r="AK37">
        <v>109.1</v>
      </c>
      <c r="AL37">
        <v>644.33600000000001</v>
      </c>
      <c r="AM37" t="str">
        <f t="shared" si="16"/>
        <v>FMT</v>
      </c>
      <c r="AN37" t="str">
        <f t="shared" si="17"/>
        <v>C1MT</v>
      </c>
      <c r="AO37" t="str">
        <f t="shared" si="18"/>
        <v>FMT</v>
      </c>
      <c r="BA37">
        <v>22</v>
      </c>
      <c r="BB37">
        <v>18</v>
      </c>
      <c r="BC37">
        <v>15</v>
      </c>
      <c r="BD37">
        <v>19</v>
      </c>
      <c r="BE37">
        <v>3</v>
      </c>
      <c r="BF37">
        <v>0.628</v>
      </c>
      <c r="BG37">
        <v>1.883</v>
      </c>
      <c r="BH37">
        <v>0</v>
      </c>
      <c r="BI37">
        <v>-2.5099999999999998</v>
      </c>
      <c r="BJ37">
        <v>0</v>
      </c>
      <c r="BK37">
        <v>0</v>
      </c>
      <c r="BL37" t="str">
        <f t="shared" si="15"/>
        <v>HMT</v>
      </c>
      <c r="BM37" t="str">
        <f t="shared" si="15"/>
        <v>C1MT</v>
      </c>
      <c r="BN37" t="str">
        <f t="shared" si="15"/>
        <v>C1MT</v>
      </c>
      <c r="BO37" t="str">
        <f t="shared" si="15"/>
        <v>HMT</v>
      </c>
    </row>
    <row r="38" spans="2:67" x14ac:dyDescent="0.25">
      <c r="AG38">
        <v>18</v>
      </c>
      <c r="AH38">
        <v>15</v>
      </c>
      <c r="AI38">
        <v>20</v>
      </c>
      <c r="AJ38">
        <v>1</v>
      </c>
      <c r="AK38">
        <v>110.7</v>
      </c>
      <c r="AL38">
        <v>313.8</v>
      </c>
      <c r="AM38" t="str">
        <f t="shared" si="16"/>
        <v>C1MT</v>
      </c>
      <c r="AN38" t="str">
        <f t="shared" si="17"/>
        <v>C1MT</v>
      </c>
      <c r="AO38" t="str">
        <f t="shared" si="18"/>
        <v>HMT</v>
      </c>
      <c r="BA38">
        <v>10</v>
      </c>
      <c r="BB38">
        <v>6</v>
      </c>
      <c r="BC38">
        <v>3</v>
      </c>
      <c r="BD38">
        <v>8</v>
      </c>
      <c r="BE38">
        <v>3</v>
      </c>
      <c r="BF38">
        <v>0.628</v>
      </c>
      <c r="BG38">
        <v>1.883</v>
      </c>
      <c r="BH38">
        <v>0</v>
      </c>
      <c r="BI38">
        <v>-2.5099999999999998</v>
      </c>
      <c r="BJ38">
        <v>0</v>
      </c>
      <c r="BK38">
        <v>0</v>
      </c>
      <c r="BL38" t="str">
        <f t="shared" si="15"/>
        <v>HMT</v>
      </c>
      <c r="BM38" t="str">
        <f t="shared" si="15"/>
        <v>C1MT</v>
      </c>
      <c r="BN38" t="str">
        <f t="shared" si="15"/>
        <v>C1MT</v>
      </c>
      <c r="BO38" t="str">
        <f t="shared" si="15"/>
        <v>HMT</v>
      </c>
    </row>
    <row r="39" spans="2:67" x14ac:dyDescent="0.25">
      <c r="AG39">
        <v>28</v>
      </c>
      <c r="AH39">
        <v>27</v>
      </c>
      <c r="AI39">
        <v>30</v>
      </c>
      <c r="AJ39">
        <v>1</v>
      </c>
      <c r="AK39">
        <v>108.9</v>
      </c>
      <c r="AL39">
        <v>619.23199999999997</v>
      </c>
      <c r="AM39" t="str">
        <f t="shared" si="16"/>
        <v>C1MT</v>
      </c>
      <c r="AN39" t="str">
        <f t="shared" si="17"/>
        <v>SMT</v>
      </c>
      <c r="AO39" t="str">
        <f t="shared" si="18"/>
        <v>O3MT</v>
      </c>
      <c r="BA39">
        <v>8</v>
      </c>
      <c r="BB39">
        <v>3</v>
      </c>
      <c r="BC39">
        <v>2</v>
      </c>
      <c r="BD39">
        <v>1</v>
      </c>
      <c r="BE39">
        <v>3</v>
      </c>
      <c r="BF39">
        <v>0.628</v>
      </c>
      <c r="BG39">
        <v>1.883</v>
      </c>
      <c r="BH39">
        <v>0</v>
      </c>
      <c r="BI39">
        <v>-2.5099999999999998</v>
      </c>
      <c r="BJ39">
        <v>0</v>
      </c>
      <c r="BK39">
        <v>0</v>
      </c>
      <c r="BL39" t="str">
        <f t="shared" si="15"/>
        <v>HMT</v>
      </c>
      <c r="BM39" t="str">
        <f t="shared" si="15"/>
        <v>C1MT</v>
      </c>
      <c r="BN39" t="str">
        <f t="shared" si="15"/>
        <v>C1MT</v>
      </c>
      <c r="BO39" t="str">
        <f t="shared" si="15"/>
        <v>HMT</v>
      </c>
    </row>
    <row r="40" spans="2:67" x14ac:dyDescent="0.25">
      <c r="AG40">
        <v>6</v>
      </c>
      <c r="AH40">
        <v>3</v>
      </c>
      <c r="AI40">
        <v>8</v>
      </c>
      <c r="AJ40">
        <v>1</v>
      </c>
      <c r="AK40">
        <v>110.7</v>
      </c>
      <c r="AL40">
        <v>313.8</v>
      </c>
      <c r="AM40" t="str">
        <f t="shared" si="16"/>
        <v>C1MT</v>
      </c>
      <c r="AN40" t="str">
        <f t="shared" si="17"/>
        <v>C1MT</v>
      </c>
      <c r="AO40" t="str">
        <f t="shared" si="18"/>
        <v>HMT</v>
      </c>
      <c r="BA40">
        <v>22</v>
      </c>
      <c r="BB40">
        <v>18</v>
      </c>
      <c r="BC40">
        <v>15</v>
      </c>
      <c r="BD40">
        <v>20</v>
      </c>
      <c r="BE40">
        <v>3</v>
      </c>
      <c r="BF40">
        <v>0.628</v>
      </c>
      <c r="BG40">
        <v>1.883</v>
      </c>
      <c r="BH40">
        <v>0</v>
      </c>
      <c r="BI40">
        <v>-2.5099999999999998</v>
      </c>
      <c r="BJ40">
        <v>0</v>
      </c>
      <c r="BK40">
        <v>0</v>
      </c>
      <c r="BL40" t="str">
        <f t="shared" si="15"/>
        <v>HMT</v>
      </c>
      <c r="BM40" t="str">
        <f t="shared" si="15"/>
        <v>C1MT</v>
      </c>
      <c r="BN40" t="str">
        <f t="shared" si="15"/>
        <v>C1MT</v>
      </c>
      <c r="BO40" t="str">
        <f t="shared" si="15"/>
        <v>HMT</v>
      </c>
    </row>
    <row r="41" spans="2:67" x14ac:dyDescent="0.25">
      <c r="AG41">
        <v>28</v>
      </c>
      <c r="AH41">
        <v>27</v>
      </c>
      <c r="AI41">
        <v>29</v>
      </c>
      <c r="AJ41">
        <v>1</v>
      </c>
      <c r="AK41">
        <v>108.9</v>
      </c>
      <c r="AL41">
        <v>619.23199999999997</v>
      </c>
      <c r="AM41" t="str">
        <f t="shared" si="16"/>
        <v>C1MT</v>
      </c>
      <c r="AN41" t="str">
        <f t="shared" si="17"/>
        <v>SMT</v>
      </c>
      <c r="AO41" t="str">
        <f t="shared" si="18"/>
        <v>O3MT</v>
      </c>
      <c r="BA41">
        <v>11</v>
      </c>
      <c r="BB41">
        <v>6</v>
      </c>
      <c r="BC41">
        <v>3</v>
      </c>
      <c r="BD41">
        <v>8</v>
      </c>
      <c r="BE41">
        <v>3</v>
      </c>
      <c r="BF41">
        <v>0.628</v>
      </c>
      <c r="BG41">
        <v>1.883</v>
      </c>
      <c r="BH41">
        <v>0</v>
      </c>
      <c r="BI41">
        <v>-2.5099999999999998</v>
      </c>
      <c r="BJ41">
        <v>0</v>
      </c>
      <c r="BK41">
        <v>0</v>
      </c>
      <c r="BL41" t="str">
        <f t="shared" si="15"/>
        <v>HMT</v>
      </c>
      <c r="BM41" t="str">
        <f t="shared" si="15"/>
        <v>C1MT</v>
      </c>
      <c r="BN41" t="str">
        <f t="shared" si="15"/>
        <v>C1MT</v>
      </c>
      <c r="BO41" t="str">
        <f t="shared" si="15"/>
        <v>HMT</v>
      </c>
    </row>
    <row r="42" spans="2:67" x14ac:dyDescent="0.25">
      <c r="AG42">
        <v>15</v>
      </c>
      <c r="AH42">
        <v>14</v>
      </c>
      <c r="AI42">
        <v>16</v>
      </c>
      <c r="AJ42">
        <v>1</v>
      </c>
      <c r="AK42">
        <v>110.7</v>
      </c>
      <c r="AL42">
        <v>313.8</v>
      </c>
      <c r="AM42" t="str">
        <f t="shared" si="16"/>
        <v>C1MT</v>
      </c>
      <c r="AN42" t="str">
        <f t="shared" si="17"/>
        <v>C1MT</v>
      </c>
      <c r="AO42" t="str">
        <f t="shared" si="18"/>
        <v>HMT</v>
      </c>
      <c r="BA42">
        <v>19</v>
      </c>
      <c r="BB42">
        <v>15</v>
      </c>
      <c r="BC42">
        <v>14</v>
      </c>
      <c r="BD42">
        <v>17</v>
      </c>
      <c r="BE42">
        <v>3</v>
      </c>
      <c r="BF42">
        <v>0.628</v>
      </c>
      <c r="BG42">
        <v>1.883</v>
      </c>
      <c r="BH42">
        <v>0</v>
      </c>
      <c r="BI42">
        <v>-2.5099999999999998</v>
      </c>
      <c r="BJ42">
        <v>0</v>
      </c>
      <c r="BK42">
        <v>0</v>
      </c>
      <c r="BL42" t="str">
        <f t="shared" si="15"/>
        <v>HMT</v>
      </c>
      <c r="BM42" t="str">
        <f t="shared" si="15"/>
        <v>C1MT</v>
      </c>
      <c r="BN42" t="str">
        <f t="shared" si="15"/>
        <v>C1MT</v>
      </c>
      <c r="BO42" t="str">
        <f t="shared" si="15"/>
        <v>HMT</v>
      </c>
    </row>
    <row r="43" spans="2:67" x14ac:dyDescent="0.25">
      <c r="AG43">
        <v>21</v>
      </c>
      <c r="AH43">
        <v>18</v>
      </c>
      <c r="AI43">
        <v>23</v>
      </c>
      <c r="AJ43">
        <v>1</v>
      </c>
      <c r="AK43">
        <v>109.5</v>
      </c>
      <c r="AL43">
        <v>292.88</v>
      </c>
      <c r="AM43" t="str">
        <f t="shared" si="16"/>
        <v>SMT</v>
      </c>
      <c r="AN43" t="str">
        <f t="shared" si="17"/>
        <v>C1MT</v>
      </c>
      <c r="AO43" t="str">
        <f t="shared" si="18"/>
        <v>HMT</v>
      </c>
      <c r="BA43">
        <v>9</v>
      </c>
      <c r="BB43">
        <v>6</v>
      </c>
      <c r="BC43">
        <v>3</v>
      </c>
      <c r="BD43">
        <v>8</v>
      </c>
      <c r="BE43">
        <v>3</v>
      </c>
      <c r="BF43">
        <v>0.628</v>
      </c>
      <c r="BG43">
        <v>1.883</v>
      </c>
      <c r="BH43">
        <v>0</v>
      </c>
      <c r="BI43">
        <v>-2.5099999999999998</v>
      </c>
      <c r="BJ43">
        <v>0</v>
      </c>
      <c r="BK43">
        <v>0</v>
      </c>
      <c r="BL43" t="str">
        <f t="shared" si="15"/>
        <v>HMT</v>
      </c>
      <c r="BM43" t="str">
        <f t="shared" si="15"/>
        <v>C1MT</v>
      </c>
      <c r="BN43" t="str">
        <f t="shared" si="15"/>
        <v>C1MT</v>
      </c>
      <c r="BO43" t="str">
        <f t="shared" si="15"/>
        <v>HMT</v>
      </c>
    </row>
    <row r="44" spans="2:67" x14ac:dyDescent="0.25">
      <c r="AG44">
        <v>31</v>
      </c>
      <c r="AH44">
        <v>28</v>
      </c>
      <c r="AI44">
        <v>32</v>
      </c>
      <c r="AJ44">
        <v>1</v>
      </c>
      <c r="AK44">
        <v>109.1</v>
      </c>
      <c r="AL44">
        <v>644.33600000000001</v>
      </c>
      <c r="AM44" t="str">
        <f t="shared" si="16"/>
        <v>FMT</v>
      </c>
      <c r="AN44" t="str">
        <f t="shared" si="17"/>
        <v>C1MT</v>
      </c>
      <c r="AO44" t="str">
        <f t="shared" si="18"/>
        <v>FMT</v>
      </c>
      <c r="BA44">
        <v>23</v>
      </c>
      <c r="BB44">
        <v>18</v>
      </c>
      <c r="BC44">
        <v>15</v>
      </c>
      <c r="BD44">
        <v>19</v>
      </c>
      <c r="BE44">
        <v>3</v>
      </c>
      <c r="BF44">
        <v>0.628</v>
      </c>
      <c r="BG44">
        <v>1.883</v>
      </c>
      <c r="BH44">
        <v>0</v>
      </c>
      <c r="BI44">
        <v>-2.5099999999999998</v>
      </c>
      <c r="BJ44">
        <v>0</v>
      </c>
      <c r="BK44">
        <v>0</v>
      </c>
      <c r="BL44" t="str">
        <f t="shared" si="15"/>
        <v>HMT</v>
      </c>
      <c r="BM44" t="str">
        <f t="shared" si="15"/>
        <v>C1MT</v>
      </c>
      <c r="BN44" t="str">
        <f t="shared" si="15"/>
        <v>C1MT</v>
      </c>
      <c r="BO44" t="str">
        <f t="shared" si="15"/>
        <v>HMT</v>
      </c>
    </row>
    <row r="45" spans="2:67" x14ac:dyDescent="0.25">
      <c r="AG45">
        <v>31</v>
      </c>
      <c r="AH45">
        <v>28</v>
      </c>
      <c r="AI45">
        <v>33</v>
      </c>
      <c r="AJ45">
        <v>1</v>
      </c>
      <c r="AK45">
        <v>109.1</v>
      </c>
      <c r="AL45">
        <v>644.33600000000001</v>
      </c>
      <c r="AM45" t="str">
        <f t="shared" si="16"/>
        <v>FMT</v>
      </c>
      <c r="AN45" t="str">
        <f t="shared" si="17"/>
        <v>C1MT</v>
      </c>
      <c r="AO45" t="str">
        <f t="shared" si="18"/>
        <v>FMT</v>
      </c>
      <c r="BA45">
        <v>8</v>
      </c>
      <c r="BB45">
        <v>3</v>
      </c>
      <c r="BC45">
        <v>2</v>
      </c>
      <c r="BD45">
        <v>4</v>
      </c>
      <c r="BE45">
        <v>3</v>
      </c>
      <c r="BF45">
        <v>0.628</v>
      </c>
      <c r="BG45">
        <v>1.883</v>
      </c>
      <c r="BH45">
        <v>0</v>
      </c>
      <c r="BI45">
        <v>-2.5099999999999998</v>
      </c>
      <c r="BJ45">
        <v>0</v>
      </c>
      <c r="BK45">
        <v>0</v>
      </c>
      <c r="BL45" t="str">
        <f t="shared" si="15"/>
        <v>HMT</v>
      </c>
      <c r="BM45" t="str">
        <f t="shared" si="15"/>
        <v>C1MT</v>
      </c>
      <c r="BN45" t="str">
        <f t="shared" si="15"/>
        <v>C1MT</v>
      </c>
      <c r="BO45" t="str">
        <f t="shared" si="15"/>
        <v>HMT</v>
      </c>
    </row>
    <row r="46" spans="2:67" x14ac:dyDescent="0.25">
      <c r="AG46">
        <v>7</v>
      </c>
      <c r="AH46">
        <v>3</v>
      </c>
      <c r="AI46">
        <v>8</v>
      </c>
      <c r="AJ46">
        <v>1</v>
      </c>
      <c r="AK46">
        <v>109.5</v>
      </c>
      <c r="AL46">
        <v>292.88</v>
      </c>
      <c r="AM46" t="str">
        <f t="shared" si="16"/>
        <v>C2MT</v>
      </c>
      <c r="AN46" t="str">
        <f t="shared" si="17"/>
        <v>C1MT</v>
      </c>
      <c r="AO46" t="str">
        <f t="shared" si="18"/>
        <v>HMT</v>
      </c>
      <c r="BA46">
        <v>20</v>
      </c>
      <c r="BB46">
        <v>15</v>
      </c>
      <c r="BC46">
        <v>14</v>
      </c>
      <c r="BD46">
        <v>16</v>
      </c>
      <c r="BE46">
        <v>3</v>
      </c>
      <c r="BF46">
        <v>0.628</v>
      </c>
      <c r="BG46">
        <v>1.883</v>
      </c>
      <c r="BH46">
        <v>0</v>
      </c>
      <c r="BI46">
        <v>-2.5099999999999998</v>
      </c>
      <c r="BJ46">
        <v>0</v>
      </c>
      <c r="BK46">
        <v>0</v>
      </c>
      <c r="BL46" t="str">
        <f t="shared" si="15"/>
        <v>HMT</v>
      </c>
      <c r="BM46" t="str">
        <f t="shared" si="15"/>
        <v>C1MT</v>
      </c>
      <c r="BN46" t="str">
        <f t="shared" si="15"/>
        <v>C1MT</v>
      </c>
      <c r="BO46" t="str">
        <f t="shared" si="15"/>
        <v>HMT</v>
      </c>
    </row>
    <row r="47" spans="2:67" x14ac:dyDescent="0.25">
      <c r="AG47">
        <v>16</v>
      </c>
      <c r="AH47">
        <v>14</v>
      </c>
      <c r="AI47">
        <v>17</v>
      </c>
      <c r="AJ47">
        <v>1</v>
      </c>
      <c r="AK47">
        <v>107.8</v>
      </c>
      <c r="AL47">
        <v>276.14400000000001</v>
      </c>
      <c r="AM47" t="str">
        <f t="shared" si="16"/>
        <v>HMT</v>
      </c>
      <c r="AN47" t="str">
        <f t="shared" si="17"/>
        <v>C1MT</v>
      </c>
      <c r="AO47" t="str">
        <f t="shared" si="18"/>
        <v>HMT</v>
      </c>
      <c r="BA47">
        <v>20</v>
      </c>
      <c r="BB47">
        <v>15</v>
      </c>
      <c r="BC47">
        <v>14</v>
      </c>
      <c r="BD47">
        <v>12</v>
      </c>
      <c r="BE47">
        <v>3</v>
      </c>
      <c r="BF47">
        <v>0.97899999999999998</v>
      </c>
      <c r="BG47">
        <v>2.9369999999999998</v>
      </c>
      <c r="BH47">
        <v>0</v>
      </c>
      <c r="BI47">
        <v>-3.9159999999999999</v>
      </c>
      <c r="BJ47">
        <v>0</v>
      </c>
      <c r="BK47">
        <v>0</v>
      </c>
      <c r="BL47" t="str">
        <f t="shared" si="15"/>
        <v>HMT</v>
      </c>
      <c r="BM47" t="str">
        <f t="shared" si="15"/>
        <v>C1MT</v>
      </c>
      <c r="BN47" t="str">
        <f t="shared" si="15"/>
        <v>C1MT</v>
      </c>
      <c r="BO47" t="str">
        <f t="shared" si="15"/>
        <v>O1MT</v>
      </c>
    </row>
    <row r="48" spans="2:67" x14ac:dyDescent="0.25">
      <c r="AG48">
        <v>25</v>
      </c>
      <c r="AH48">
        <v>21</v>
      </c>
      <c r="AI48">
        <v>26</v>
      </c>
      <c r="AJ48">
        <v>1</v>
      </c>
      <c r="AK48">
        <v>119</v>
      </c>
      <c r="AL48">
        <v>870.27200000000005</v>
      </c>
      <c r="AM48" t="str">
        <f t="shared" si="16"/>
        <v>O3MT</v>
      </c>
      <c r="AN48" t="str">
        <f t="shared" si="17"/>
        <v>SMT</v>
      </c>
      <c r="AO48" t="str">
        <f t="shared" si="18"/>
        <v>O3MT</v>
      </c>
      <c r="BA48">
        <v>19</v>
      </c>
      <c r="BB48">
        <v>15</v>
      </c>
      <c r="BC48">
        <v>14</v>
      </c>
      <c r="BD48">
        <v>12</v>
      </c>
      <c r="BE48">
        <v>3</v>
      </c>
      <c r="BF48">
        <v>0.97899999999999998</v>
      </c>
      <c r="BG48">
        <v>2.9369999999999998</v>
      </c>
      <c r="BH48">
        <v>0</v>
      </c>
      <c r="BI48">
        <v>-3.9159999999999999</v>
      </c>
      <c r="BJ48">
        <v>0</v>
      </c>
      <c r="BK48">
        <v>0</v>
      </c>
      <c r="BL48" t="str">
        <f t="shared" ref="BL48:BO73" si="19">_xlfn.XLOOKUP(BA48,$B$3:$B$35,$G$3:$G$35)</f>
        <v>HMT</v>
      </c>
      <c r="BM48" t="str">
        <f t="shared" si="19"/>
        <v>C1MT</v>
      </c>
      <c r="BN48" t="str">
        <f t="shared" si="19"/>
        <v>C1MT</v>
      </c>
      <c r="BO48" t="str">
        <f t="shared" si="19"/>
        <v>O1MT</v>
      </c>
    </row>
    <row r="49" spans="33:67" x14ac:dyDescent="0.25">
      <c r="AG49">
        <v>24</v>
      </c>
      <c r="AH49">
        <v>21</v>
      </c>
      <c r="AI49">
        <v>25</v>
      </c>
      <c r="AJ49">
        <v>1</v>
      </c>
      <c r="AK49">
        <v>104.36</v>
      </c>
      <c r="AL49">
        <v>658.31100000000004</v>
      </c>
      <c r="AM49" t="str">
        <f t="shared" si="16"/>
        <v>NMT</v>
      </c>
      <c r="AN49" t="str">
        <f t="shared" si="17"/>
        <v>SMT</v>
      </c>
      <c r="AO49" t="str">
        <f t="shared" si="18"/>
        <v>O3MT</v>
      </c>
      <c r="BA49">
        <v>16</v>
      </c>
      <c r="BB49">
        <v>14</v>
      </c>
      <c r="BC49">
        <v>12</v>
      </c>
      <c r="BD49">
        <v>7</v>
      </c>
      <c r="BE49">
        <v>3</v>
      </c>
      <c r="BF49">
        <v>0.41399999999999998</v>
      </c>
      <c r="BG49">
        <v>1.2430000000000001</v>
      </c>
      <c r="BH49">
        <v>0</v>
      </c>
      <c r="BI49">
        <v>-1.657</v>
      </c>
      <c r="BJ49">
        <v>0</v>
      </c>
      <c r="BK49">
        <v>0</v>
      </c>
      <c r="BL49" t="str">
        <f t="shared" si="19"/>
        <v>HMT</v>
      </c>
      <c r="BM49" t="str">
        <f t="shared" si="19"/>
        <v>C1MT</v>
      </c>
      <c r="BN49" t="str">
        <f t="shared" si="19"/>
        <v>O1MT</v>
      </c>
      <c r="BO49" t="str">
        <f t="shared" si="19"/>
        <v>C2MT</v>
      </c>
    </row>
    <row r="50" spans="33:67" x14ac:dyDescent="0.25">
      <c r="AG50">
        <v>3</v>
      </c>
      <c r="AH50">
        <v>2</v>
      </c>
      <c r="AI50">
        <v>4</v>
      </c>
      <c r="AJ50">
        <v>1</v>
      </c>
      <c r="AK50">
        <v>110.7</v>
      </c>
      <c r="AL50">
        <v>313.8</v>
      </c>
      <c r="AM50" t="str">
        <f t="shared" si="16"/>
        <v>C1MT</v>
      </c>
      <c r="AN50" t="str">
        <f t="shared" si="17"/>
        <v>C1MT</v>
      </c>
      <c r="AO50" t="str">
        <f t="shared" si="18"/>
        <v>HMT</v>
      </c>
      <c r="BA50">
        <v>17</v>
      </c>
      <c r="BB50">
        <v>14</v>
      </c>
      <c r="BC50">
        <v>12</v>
      </c>
      <c r="BD50">
        <v>7</v>
      </c>
      <c r="BE50">
        <v>3</v>
      </c>
      <c r="BF50">
        <v>0.41399999999999998</v>
      </c>
      <c r="BG50">
        <v>1.2430000000000001</v>
      </c>
      <c r="BH50">
        <v>0</v>
      </c>
      <c r="BI50">
        <v>-1.657</v>
      </c>
      <c r="BJ50">
        <v>0</v>
      </c>
      <c r="BK50">
        <v>0</v>
      </c>
      <c r="BL50" t="str">
        <f t="shared" si="19"/>
        <v>HMT</v>
      </c>
      <c r="BM50" t="str">
        <f t="shared" si="19"/>
        <v>C1MT</v>
      </c>
      <c r="BN50" t="str">
        <f t="shared" si="19"/>
        <v>O1MT</v>
      </c>
      <c r="BO50" t="str">
        <f t="shared" si="19"/>
        <v>C2MT</v>
      </c>
    </row>
    <row r="51" spans="33:67" x14ac:dyDescent="0.25">
      <c r="AG51">
        <v>3</v>
      </c>
      <c r="AH51">
        <v>2</v>
      </c>
      <c r="AI51">
        <v>5</v>
      </c>
      <c r="AJ51">
        <v>1</v>
      </c>
      <c r="AK51">
        <v>110.7</v>
      </c>
      <c r="AL51">
        <v>313.8</v>
      </c>
      <c r="AM51" t="str">
        <f t="shared" si="16"/>
        <v>C1MT</v>
      </c>
      <c r="AN51" t="str">
        <f t="shared" si="17"/>
        <v>C1MT</v>
      </c>
      <c r="AO51" t="str">
        <f t="shared" si="18"/>
        <v>HMT</v>
      </c>
      <c r="BA51">
        <v>24</v>
      </c>
      <c r="BB51">
        <v>21</v>
      </c>
      <c r="BC51">
        <v>18</v>
      </c>
      <c r="BD51">
        <v>15</v>
      </c>
      <c r="BE51">
        <v>3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 t="str">
        <f t="shared" si="19"/>
        <v>NMT</v>
      </c>
      <c r="BM51" t="str">
        <f t="shared" si="19"/>
        <v>SMT</v>
      </c>
      <c r="BN51" t="str">
        <f t="shared" si="19"/>
        <v>C1MT</v>
      </c>
      <c r="BO51" t="str">
        <f t="shared" si="19"/>
        <v>C1MT</v>
      </c>
    </row>
    <row r="52" spans="33:67" x14ac:dyDescent="0.25">
      <c r="AG52">
        <v>9</v>
      </c>
      <c r="AH52">
        <v>6</v>
      </c>
      <c r="AI52">
        <v>10</v>
      </c>
      <c r="AJ52">
        <v>1</v>
      </c>
      <c r="AK52">
        <v>107.8</v>
      </c>
      <c r="AL52">
        <v>276.14400000000001</v>
      </c>
      <c r="AM52" t="str">
        <f t="shared" si="16"/>
        <v>HMT</v>
      </c>
      <c r="AN52" t="str">
        <f t="shared" si="17"/>
        <v>C1MT</v>
      </c>
      <c r="AO52" t="str">
        <f t="shared" si="18"/>
        <v>HMT</v>
      </c>
      <c r="BA52">
        <v>24</v>
      </c>
      <c r="BB52">
        <v>21</v>
      </c>
      <c r="BC52">
        <v>18</v>
      </c>
      <c r="BD52">
        <v>22</v>
      </c>
      <c r="BE52">
        <v>3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 t="str">
        <f t="shared" si="19"/>
        <v>NMT</v>
      </c>
      <c r="BM52" t="str">
        <f t="shared" si="19"/>
        <v>SMT</v>
      </c>
      <c r="BN52" t="str">
        <f t="shared" si="19"/>
        <v>C1MT</v>
      </c>
      <c r="BO52" t="str">
        <f t="shared" si="19"/>
        <v>HMT</v>
      </c>
    </row>
    <row r="53" spans="33:67" x14ac:dyDescent="0.25">
      <c r="AG53">
        <v>22</v>
      </c>
      <c r="AH53">
        <v>18</v>
      </c>
      <c r="AI53">
        <v>23</v>
      </c>
      <c r="AJ53">
        <v>1</v>
      </c>
      <c r="AK53">
        <v>107.8</v>
      </c>
      <c r="AL53">
        <v>276.14400000000001</v>
      </c>
      <c r="AM53" t="str">
        <f t="shared" si="16"/>
        <v>HMT</v>
      </c>
      <c r="AN53" t="str">
        <f t="shared" si="17"/>
        <v>C1MT</v>
      </c>
      <c r="AO53" t="str">
        <f t="shared" si="18"/>
        <v>HMT</v>
      </c>
      <c r="BA53">
        <v>24</v>
      </c>
      <c r="BB53">
        <v>21</v>
      </c>
      <c r="BC53">
        <v>18</v>
      </c>
      <c r="BD53">
        <v>23</v>
      </c>
      <c r="BE53">
        <v>3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 t="str">
        <f t="shared" si="19"/>
        <v>NMT</v>
      </c>
      <c r="BM53" t="str">
        <f t="shared" si="19"/>
        <v>SMT</v>
      </c>
      <c r="BN53" t="str">
        <f t="shared" si="19"/>
        <v>C1MT</v>
      </c>
      <c r="BO53" t="str">
        <f t="shared" si="19"/>
        <v>HMT</v>
      </c>
    </row>
    <row r="54" spans="33:67" x14ac:dyDescent="0.25">
      <c r="AG54">
        <v>21</v>
      </c>
      <c r="AH54">
        <v>18</v>
      </c>
      <c r="AI54">
        <v>22</v>
      </c>
      <c r="AJ54">
        <v>1</v>
      </c>
      <c r="AK54">
        <v>109.5</v>
      </c>
      <c r="AL54">
        <v>292.88</v>
      </c>
      <c r="AM54" t="str">
        <f t="shared" si="16"/>
        <v>SMT</v>
      </c>
      <c r="AN54" t="str">
        <f t="shared" si="17"/>
        <v>C1MT</v>
      </c>
      <c r="AO54" t="str">
        <f t="shared" si="18"/>
        <v>HMT</v>
      </c>
      <c r="BA54">
        <v>13</v>
      </c>
      <c r="BB54">
        <v>7</v>
      </c>
      <c r="BC54">
        <v>3</v>
      </c>
      <c r="BD54">
        <v>2</v>
      </c>
      <c r="BE54">
        <v>3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 t="str">
        <f t="shared" si="19"/>
        <v>O2MT</v>
      </c>
      <c r="BM54" t="str">
        <f t="shared" si="19"/>
        <v>C2MT</v>
      </c>
      <c r="BN54" t="str">
        <f t="shared" si="19"/>
        <v>C1MT</v>
      </c>
      <c r="BO54" t="str">
        <f t="shared" si="19"/>
        <v>C1MT</v>
      </c>
    </row>
    <row r="55" spans="33:67" x14ac:dyDescent="0.25">
      <c r="AG55">
        <v>4</v>
      </c>
      <c r="AH55">
        <v>2</v>
      </c>
      <c r="AI55">
        <v>5</v>
      </c>
      <c r="AJ55">
        <v>1</v>
      </c>
      <c r="AK55">
        <v>107.8</v>
      </c>
      <c r="AL55">
        <v>276.14400000000001</v>
      </c>
      <c r="AM55" t="str">
        <f t="shared" si="16"/>
        <v>HMT</v>
      </c>
      <c r="AN55" t="str">
        <f t="shared" si="17"/>
        <v>C1MT</v>
      </c>
      <c r="AO55" t="str">
        <f t="shared" si="18"/>
        <v>HMT</v>
      </c>
      <c r="BA55">
        <v>13</v>
      </c>
      <c r="BB55">
        <v>7</v>
      </c>
      <c r="BC55">
        <v>3</v>
      </c>
      <c r="BD55">
        <v>6</v>
      </c>
      <c r="BE55">
        <v>3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 t="str">
        <f t="shared" si="19"/>
        <v>O2MT</v>
      </c>
      <c r="BM55" t="str">
        <f t="shared" si="19"/>
        <v>C2MT</v>
      </c>
      <c r="BN55" t="str">
        <f t="shared" si="19"/>
        <v>C1MT</v>
      </c>
      <c r="BO55" t="str">
        <f t="shared" si="19"/>
        <v>C1MT</v>
      </c>
    </row>
    <row r="56" spans="33:67" x14ac:dyDescent="0.25">
      <c r="AG56">
        <v>9</v>
      </c>
      <c r="AH56">
        <v>6</v>
      </c>
      <c r="AI56">
        <v>11</v>
      </c>
      <c r="AJ56">
        <v>1</v>
      </c>
      <c r="AK56">
        <v>107.8</v>
      </c>
      <c r="AL56">
        <v>276.14400000000001</v>
      </c>
      <c r="AM56" t="str">
        <f t="shared" si="16"/>
        <v>HMT</v>
      </c>
      <c r="AN56" t="str">
        <f t="shared" si="17"/>
        <v>C1MT</v>
      </c>
      <c r="AO56" t="str">
        <f t="shared" si="18"/>
        <v>HMT</v>
      </c>
      <c r="BA56">
        <v>13</v>
      </c>
      <c r="BB56">
        <v>7</v>
      </c>
      <c r="BC56">
        <v>3</v>
      </c>
      <c r="BD56">
        <v>8</v>
      </c>
      <c r="BE56">
        <v>3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 t="str">
        <f t="shared" si="19"/>
        <v>O2MT</v>
      </c>
      <c r="BM56" t="str">
        <f t="shared" si="19"/>
        <v>C2MT</v>
      </c>
      <c r="BN56" t="str">
        <f t="shared" si="19"/>
        <v>C1MT</v>
      </c>
      <c r="BO56" t="str">
        <f t="shared" si="19"/>
        <v>HMT</v>
      </c>
    </row>
    <row r="57" spans="33:67" x14ac:dyDescent="0.25">
      <c r="AG57">
        <v>6</v>
      </c>
      <c r="AH57">
        <v>3</v>
      </c>
      <c r="AI57">
        <v>7</v>
      </c>
      <c r="AJ57">
        <v>1</v>
      </c>
      <c r="AK57">
        <v>111.1</v>
      </c>
      <c r="AL57">
        <v>527.18399999999997</v>
      </c>
      <c r="AM57" t="str">
        <f t="shared" si="16"/>
        <v>C1MT</v>
      </c>
      <c r="AN57" t="str">
        <f t="shared" si="17"/>
        <v>C1MT</v>
      </c>
      <c r="AO57" t="str">
        <f t="shared" si="18"/>
        <v>C2MT</v>
      </c>
      <c r="BA57">
        <v>12</v>
      </c>
      <c r="BB57">
        <v>7</v>
      </c>
      <c r="BC57">
        <v>3</v>
      </c>
      <c r="BD57">
        <v>2</v>
      </c>
      <c r="BE57">
        <v>3</v>
      </c>
      <c r="BF57">
        <v>-1.157</v>
      </c>
      <c r="BG57">
        <v>-3.4710000000000001</v>
      </c>
      <c r="BH57">
        <v>0</v>
      </c>
      <c r="BI57">
        <v>4.6280000000000001</v>
      </c>
      <c r="BJ57">
        <v>0</v>
      </c>
      <c r="BK57">
        <v>0</v>
      </c>
      <c r="BL57" t="str">
        <f t="shared" si="19"/>
        <v>O1MT</v>
      </c>
      <c r="BM57" t="str">
        <f t="shared" si="19"/>
        <v>C2MT</v>
      </c>
      <c r="BN57" t="str">
        <f t="shared" si="19"/>
        <v>C1MT</v>
      </c>
      <c r="BO57" t="str">
        <f t="shared" si="19"/>
        <v>C1MT</v>
      </c>
    </row>
    <row r="58" spans="33:67" x14ac:dyDescent="0.25">
      <c r="AG58">
        <v>15</v>
      </c>
      <c r="AH58">
        <v>14</v>
      </c>
      <c r="AI58">
        <v>17</v>
      </c>
      <c r="AJ58">
        <v>1</v>
      </c>
      <c r="AK58">
        <v>110.7</v>
      </c>
      <c r="AL58">
        <v>313.8</v>
      </c>
      <c r="AM58" t="str">
        <f t="shared" si="16"/>
        <v>C1MT</v>
      </c>
      <c r="AN58" t="str">
        <f t="shared" si="17"/>
        <v>C1MT</v>
      </c>
      <c r="AO58" t="str">
        <f t="shared" si="18"/>
        <v>HMT</v>
      </c>
      <c r="BA58">
        <v>12</v>
      </c>
      <c r="BB58">
        <v>7</v>
      </c>
      <c r="BC58">
        <v>3</v>
      </c>
      <c r="BD58">
        <v>6</v>
      </c>
      <c r="BE58">
        <v>3</v>
      </c>
      <c r="BF58">
        <v>-1.157</v>
      </c>
      <c r="BG58">
        <v>-3.4710000000000001</v>
      </c>
      <c r="BH58">
        <v>0</v>
      </c>
      <c r="BI58">
        <v>4.6280000000000001</v>
      </c>
      <c r="BJ58">
        <v>0</v>
      </c>
      <c r="BK58">
        <v>0</v>
      </c>
      <c r="BL58" t="str">
        <f t="shared" si="19"/>
        <v>O1MT</v>
      </c>
      <c r="BM58" t="str">
        <f t="shared" si="19"/>
        <v>C2MT</v>
      </c>
      <c r="BN58" t="str">
        <f t="shared" si="19"/>
        <v>C1MT</v>
      </c>
      <c r="BO58" t="str">
        <f t="shared" si="19"/>
        <v>C1MT</v>
      </c>
    </row>
    <row r="59" spans="33:67" x14ac:dyDescent="0.25">
      <c r="AG59">
        <v>10</v>
      </c>
      <c r="AH59">
        <v>6</v>
      </c>
      <c r="AI59">
        <v>11</v>
      </c>
      <c r="AJ59">
        <v>1</v>
      </c>
      <c r="AK59">
        <v>107.8</v>
      </c>
      <c r="AL59">
        <v>276.14400000000001</v>
      </c>
      <c r="AM59" t="str">
        <f t="shared" si="16"/>
        <v>HMT</v>
      </c>
      <c r="AN59" t="str">
        <f t="shared" si="17"/>
        <v>C1MT</v>
      </c>
      <c r="AO59" t="str">
        <f t="shared" si="18"/>
        <v>HMT</v>
      </c>
      <c r="BA59">
        <v>12</v>
      </c>
      <c r="BB59">
        <v>7</v>
      </c>
      <c r="BC59">
        <v>3</v>
      </c>
      <c r="BD59">
        <v>8</v>
      </c>
      <c r="BE59">
        <v>3</v>
      </c>
      <c r="BF59">
        <v>0.27600000000000002</v>
      </c>
      <c r="BG59">
        <v>0.82799999999999996</v>
      </c>
      <c r="BH59">
        <v>0</v>
      </c>
      <c r="BI59">
        <v>-1.105</v>
      </c>
      <c r="BJ59">
        <v>0</v>
      </c>
      <c r="BK59">
        <v>0</v>
      </c>
      <c r="BL59" t="str">
        <f t="shared" si="19"/>
        <v>O1MT</v>
      </c>
      <c r="BM59" t="str">
        <f t="shared" si="19"/>
        <v>C2MT</v>
      </c>
      <c r="BN59" t="str">
        <f t="shared" si="19"/>
        <v>C1MT</v>
      </c>
      <c r="BO59" t="str">
        <f t="shared" si="19"/>
        <v>HMT</v>
      </c>
    </row>
    <row r="60" spans="33:67" x14ac:dyDescent="0.25">
      <c r="AG60">
        <v>12</v>
      </c>
      <c r="AH60">
        <v>7</v>
      </c>
      <c r="AI60">
        <v>13</v>
      </c>
      <c r="AJ60">
        <v>1</v>
      </c>
      <c r="AK60">
        <v>123.4</v>
      </c>
      <c r="AL60">
        <v>694.54399999999998</v>
      </c>
      <c r="AM60" t="str">
        <f t="shared" si="16"/>
        <v>O1MT</v>
      </c>
      <c r="AN60" t="str">
        <f t="shared" si="17"/>
        <v>C2MT</v>
      </c>
      <c r="AO60" t="str">
        <f t="shared" si="18"/>
        <v>O2MT</v>
      </c>
      <c r="BA60">
        <v>25</v>
      </c>
      <c r="BB60">
        <v>21</v>
      </c>
      <c r="BC60">
        <v>18</v>
      </c>
      <c r="BD60">
        <v>15</v>
      </c>
      <c r="BE60">
        <v>3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 t="str">
        <f t="shared" si="19"/>
        <v>O3MT</v>
      </c>
      <c r="BM60" t="str">
        <f t="shared" si="19"/>
        <v>SMT</v>
      </c>
      <c r="BN60" t="str">
        <f t="shared" si="19"/>
        <v>C1MT</v>
      </c>
      <c r="BO60" t="str">
        <f t="shared" si="19"/>
        <v>C1MT</v>
      </c>
    </row>
    <row r="61" spans="33:67" x14ac:dyDescent="0.25">
      <c r="AG61">
        <v>29</v>
      </c>
      <c r="AH61">
        <v>27</v>
      </c>
      <c r="AI61">
        <v>30</v>
      </c>
      <c r="AJ61">
        <v>1</v>
      </c>
      <c r="AK61">
        <v>119</v>
      </c>
      <c r="AL61">
        <v>870.27200000000005</v>
      </c>
      <c r="AM61" t="str">
        <f t="shared" si="16"/>
        <v>O3MT</v>
      </c>
      <c r="AN61" t="str">
        <f t="shared" si="17"/>
        <v>SMT</v>
      </c>
      <c r="AO61" t="str">
        <f t="shared" si="18"/>
        <v>O3MT</v>
      </c>
      <c r="BA61">
        <v>26</v>
      </c>
      <c r="BB61">
        <v>21</v>
      </c>
      <c r="BC61">
        <v>18</v>
      </c>
      <c r="BD61">
        <v>15</v>
      </c>
      <c r="BE61">
        <v>3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 t="str">
        <f t="shared" si="19"/>
        <v>O3MT</v>
      </c>
      <c r="BM61" t="str">
        <f t="shared" si="19"/>
        <v>SMT</v>
      </c>
      <c r="BN61" t="str">
        <f t="shared" si="19"/>
        <v>C1MT</v>
      </c>
      <c r="BO61" t="str">
        <f t="shared" si="19"/>
        <v>C1MT</v>
      </c>
    </row>
    <row r="62" spans="33:67" x14ac:dyDescent="0.25">
      <c r="BA62">
        <v>26</v>
      </c>
      <c r="BB62">
        <v>21</v>
      </c>
      <c r="BC62">
        <v>18</v>
      </c>
      <c r="BD62">
        <v>23</v>
      </c>
      <c r="BE62">
        <v>3</v>
      </c>
      <c r="BF62">
        <v>0.73199999999999998</v>
      </c>
      <c r="BG62">
        <v>2.1970000000000001</v>
      </c>
      <c r="BH62">
        <v>0</v>
      </c>
      <c r="BI62">
        <v>-2.9289999999999998</v>
      </c>
      <c r="BJ62">
        <v>0</v>
      </c>
      <c r="BK62">
        <v>0</v>
      </c>
      <c r="BL62" t="str">
        <f t="shared" si="19"/>
        <v>O3MT</v>
      </c>
      <c r="BM62" t="str">
        <f t="shared" si="19"/>
        <v>SMT</v>
      </c>
      <c r="BN62" t="str">
        <f t="shared" si="19"/>
        <v>C1MT</v>
      </c>
      <c r="BO62" t="str">
        <f t="shared" si="19"/>
        <v>HMT</v>
      </c>
    </row>
    <row r="63" spans="33:67" x14ac:dyDescent="0.25">
      <c r="BA63">
        <v>26</v>
      </c>
      <c r="BB63">
        <v>21</v>
      </c>
      <c r="BC63">
        <v>18</v>
      </c>
      <c r="BD63">
        <v>22</v>
      </c>
      <c r="BE63">
        <v>3</v>
      </c>
      <c r="BF63">
        <v>0.73199999999999998</v>
      </c>
      <c r="BG63">
        <v>2.1970000000000001</v>
      </c>
      <c r="BH63">
        <v>0</v>
      </c>
      <c r="BI63">
        <v>-2.9289999999999998</v>
      </c>
      <c r="BJ63">
        <v>0</v>
      </c>
      <c r="BK63">
        <v>0</v>
      </c>
      <c r="BL63" t="str">
        <f t="shared" si="19"/>
        <v>O3MT</v>
      </c>
      <c r="BM63" t="str">
        <f t="shared" si="19"/>
        <v>SMT</v>
      </c>
      <c r="BN63" t="str">
        <f t="shared" si="19"/>
        <v>C1MT</v>
      </c>
      <c r="BO63" t="str">
        <f t="shared" si="19"/>
        <v>HMT</v>
      </c>
    </row>
    <row r="64" spans="33:67" x14ac:dyDescent="0.25">
      <c r="BA64">
        <v>25</v>
      </c>
      <c r="BB64">
        <v>21</v>
      </c>
      <c r="BC64">
        <v>18</v>
      </c>
      <c r="BD64">
        <v>23</v>
      </c>
      <c r="BE64">
        <v>3</v>
      </c>
      <c r="BF64">
        <v>0.73199999999999998</v>
      </c>
      <c r="BG64">
        <v>2.1970000000000001</v>
      </c>
      <c r="BH64">
        <v>0</v>
      </c>
      <c r="BI64">
        <v>-2.9289999999999998</v>
      </c>
      <c r="BJ64">
        <v>0</v>
      </c>
      <c r="BK64">
        <v>0</v>
      </c>
      <c r="BL64" t="str">
        <f t="shared" si="19"/>
        <v>O3MT</v>
      </c>
      <c r="BM64" t="str">
        <f t="shared" si="19"/>
        <v>SMT</v>
      </c>
      <c r="BN64" t="str">
        <f t="shared" si="19"/>
        <v>C1MT</v>
      </c>
      <c r="BO64" t="str">
        <f t="shared" si="19"/>
        <v>HMT</v>
      </c>
    </row>
    <row r="65" spans="53:67" x14ac:dyDescent="0.25">
      <c r="BA65">
        <v>25</v>
      </c>
      <c r="BB65">
        <v>21</v>
      </c>
      <c r="BC65">
        <v>18</v>
      </c>
      <c r="BD65">
        <v>22</v>
      </c>
      <c r="BE65">
        <v>3</v>
      </c>
      <c r="BF65">
        <v>0.73199999999999998</v>
      </c>
      <c r="BG65">
        <v>2.1970000000000001</v>
      </c>
      <c r="BH65">
        <v>0</v>
      </c>
      <c r="BI65">
        <v>-2.9289999999999998</v>
      </c>
      <c r="BJ65">
        <v>0</v>
      </c>
      <c r="BK65">
        <v>0</v>
      </c>
      <c r="BL65" t="str">
        <f t="shared" si="19"/>
        <v>O3MT</v>
      </c>
      <c r="BM65" t="str">
        <f t="shared" si="19"/>
        <v>SMT</v>
      </c>
      <c r="BN65" t="str">
        <f t="shared" si="19"/>
        <v>C1MT</v>
      </c>
      <c r="BO65" t="str">
        <f t="shared" si="19"/>
        <v>HMT</v>
      </c>
    </row>
    <row r="66" spans="53:67" x14ac:dyDescent="0.25">
      <c r="BA66">
        <v>29</v>
      </c>
      <c r="BB66">
        <v>27</v>
      </c>
      <c r="BC66">
        <v>24</v>
      </c>
      <c r="BD66">
        <v>21</v>
      </c>
      <c r="BE66">
        <v>3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 t="str">
        <f t="shared" si="19"/>
        <v>O3MT</v>
      </c>
      <c r="BM66" t="str">
        <f t="shared" si="19"/>
        <v>SMT</v>
      </c>
      <c r="BN66" t="str">
        <f t="shared" si="19"/>
        <v>NMT</v>
      </c>
      <c r="BO66" t="str">
        <f t="shared" si="19"/>
        <v>SMT</v>
      </c>
    </row>
    <row r="67" spans="53:67" x14ac:dyDescent="0.25">
      <c r="BA67">
        <v>30</v>
      </c>
      <c r="BB67">
        <v>27</v>
      </c>
      <c r="BC67">
        <v>24</v>
      </c>
      <c r="BD67">
        <v>21</v>
      </c>
      <c r="BE67">
        <v>3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 t="str">
        <f t="shared" si="19"/>
        <v>O3MT</v>
      </c>
      <c r="BM67" t="str">
        <f t="shared" si="19"/>
        <v>SMT</v>
      </c>
      <c r="BN67" t="str">
        <f t="shared" si="19"/>
        <v>NMT</v>
      </c>
      <c r="BO67" t="str">
        <f t="shared" si="19"/>
        <v>SMT</v>
      </c>
    </row>
    <row r="68" spans="53:67" x14ac:dyDescent="0.25">
      <c r="BA68">
        <v>21</v>
      </c>
      <c r="BB68">
        <v>18</v>
      </c>
      <c r="BC68">
        <v>15</v>
      </c>
      <c r="BD68">
        <v>14</v>
      </c>
      <c r="BE68">
        <v>3</v>
      </c>
      <c r="BF68">
        <v>2.7839999999999998</v>
      </c>
      <c r="BG68">
        <v>0.27800000000000002</v>
      </c>
      <c r="BH68">
        <v>0.82799999999999996</v>
      </c>
      <c r="BI68">
        <v>-3.891</v>
      </c>
      <c r="BJ68">
        <v>0</v>
      </c>
      <c r="BK68">
        <v>0</v>
      </c>
      <c r="BL68" t="str">
        <f t="shared" si="19"/>
        <v>SMT</v>
      </c>
      <c r="BM68" t="str">
        <f t="shared" si="19"/>
        <v>C1MT</v>
      </c>
      <c r="BN68" t="str">
        <f t="shared" si="19"/>
        <v>C1MT</v>
      </c>
      <c r="BO68" t="str">
        <f t="shared" si="19"/>
        <v>C1MT</v>
      </c>
    </row>
    <row r="69" spans="53:67" x14ac:dyDescent="0.25">
      <c r="BA69">
        <v>21</v>
      </c>
      <c r="BB69">
        <v>18</v>
      </c>
      <c r="BC69">
        <v>15</v>
      </c>
      <c r="BD69">
        <v>19</v>
      </c>
      <c r="BE69">
        <v>3</v>
      </c>
      <c r="BF69">
        <v>0.94599999999999995</v>
      </c>
      <c r="BG69">
        <v>2.8370000000000002</v>
      </c>
      <c r="BH69">
        <v>0</v>
      </c>
      <c r="BI69">
        <v>-3.782</v>
      </c>
      <c r="BJ69">
        <v>0</v>
      </c>
      <c r="BK69">
        <v>0</v>
      </c>
      <c r="BL69" t="str">
        <f t="shared" si="19"/>
        <v>SMT</v>
      </c>
      <c r="BM69" t="str">
        <f t="shared" si="19"/>
        <v>C1MT</v>
      </c>
      <c r="BN69" t="str">
        <f t="shared" si="19"/>
        <v>C1MT</v>
      </c>
      <c r="BO69" t="str">
        <f t="shared" si="19"/>
        <v>HMT</v>
      </c>
    </row>
    <row r="70" spans="53:67" x14ac:dyDescent="0.25">
      <c r="BA70">
        <v>21</v>
      </c>
      <c r="BB70">
        <v>18</v>
      </c>
      <c r="BC70">
        <v>15</v>
      </c>
      <c r="BD70">
        <v>20</v>
      </c>
      <c r="BE70">
        <v>3</v>
      </c>
      <c r="BF70">
        <v>0.94599999999999995</v>
      </c>
      <c r="BG70">
        <v>2.8370000000000002</v>
      </c>
      <c r="BH70">
        <v>0</v>
      </c>
      <c r="BI70">
        <v>-3.782</v>
      </c>
      <c r="BJ70">
        <v>0</v>
      </c>
      <c r="BK70">
        <v>0</v>
      </c>
      <c r="BL70" t="str">
        <f t="shared" si="19"/>
        <v>SMT</v>
      </c>
      <c r="BM70" t="str">
        <f t="shared" si="19"/>
        <v>C1MT</v>
      </c>
      <c r="BN70" t="str">
        <f t="shared" si="19"/>
        <v>C1MT</v>
      </c>
      <c r="BO70" t="str">
        <f t="shared" si="19"/>
        <v>HMT</v>
      </c>
    </row>
    <row r="71" spans="53:67" x14ac:dyDescent="0.25">
      <c r="BA71">
        <v>27</v>
      </c>
      <c r="BB71">
        <v>24</v>
      </c>
      <c r="BC71">
        <v>21</v>
      </c>
      <c r="BD71">
        <v>18</v>
      </c>
      <c r="BE71">
        <v>3</v>
      </c>
      <c r="BF71">
        <v>-15.611000000000001</v>
      </c>
      <c r="BG71">
        <v>0.70299999999999996</v>
      </c>
      <c r="BH71">
        <v>20.506</v>
      </c>
      <c r="BI71">
        <v>-5.5979999999999999</v>
      </c>
      <c r="BJ71">
        <v>0</v>
      </c>
      <c r="BK71">
        <v>0</v>
      </c>
      <c r="BL71" t="str">
        <f t="shared" si="19"/>
        <v>SMT</v>
      </c>
      <c r="BM71" t="str">
        <f t="shared" si="19"/>
        <v>NMT</v>
      </c>
      <c r="BN71" t="str">
        <f t="shared" si="19"/>
        <v>SMT</v>
      </c>
      <c r="BO71" t="str">
        <f t="shared" si="19"/>
        <v>C1MT</v>
      </c>
    </row>
    <row r="72" spans="53:67" x14ac:dyDescent="0.25">
      <c r="BA72">
        <v>27</v>
      </c>
      <c r="BB72">
        <v>24</v>
      </c>
      <c r="BC72">
        <v>21</v>
      </c>
      <c r="BD72">
        <v>26</v>
      </c>
      <c r="BE72">
        <v>3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 t="str">
        <f t="shared" si="19"/>
        <v>SMT</v>
      </c>
      <c r="BM72" t="str">
        <f t="shared" si="19"/>
        <v>NMT</v>
      </c>
      <c r="BN72" t="str">
        <f t="shared" si="19"/>
        <v>SMT</v>
      </c>
      <c r="BO72" t="str">
        <f t="shared" si="19"/>
        <v>O3MT</v>
      </c>
    </row>
    <row r="73" spans="53:67" x14ac:dyDescent="0.25">
      <c r="BA73">
        <v>27</v>
      </c>
      <c r="BB73">
        <v>24</v>
      </c>
      <c r="BC73">
        <v>21</v>
      </c>
      <c r="BD73">
        <v>25</v>
      </c>
      <c r="BE73">
        <v>3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 t="str">
        <f t="shared" si="19"/>
        <v>SMT</v>
      </c>
      <c r="BM73" t="str">
        <f t="shared" si="19"/>
        <v>NMT</v>
      </c>
      <c r="BN73" t="str">
        <f t="shared" si="19"/>
        <v>SMT</v>
      </c>
      <c r="BO73" t="str">
        <f t="shared" si="19"/>
        <v>O3MT</v>
      </c>
    </row>
  </sheetData>
  <sortState xmlns:xlrd2="http://schemas.microsoft.com/office/spreadsheetml/2017/richdata2" ref="BQ3:CE12">
    <sortCondition ref="BV3:BV12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5D99B-1D89-4D95-BD55-CED5D3464EF4}">
  <dimension ref="A1:CE70"/>
  <sheetViews>
    <sheetView tabSelected="1" workbookViewId="0">
      <selection activeCell="P54" sqref="P54:S71"/>
    </sheetView>
  </sheetViews>
  <sheetFormatPr defaultRowHeight="15" x14ac:dyDescent="0.25"/>
  <cols>
    <col min="1" max="1" width="38.85546875" customWidth="1"/>
    <col min="17" max="17" width="11" customWidth="1"/>
    <col min="18" max="18" width="11.140625" customWidth="1"/>
    <col min="21" max="21" width="10.5703125" customWidth="1"/>
    <col min="24" max="24" width="13.5703125" customWidth="1"/>
    <col min="36" max="36" width="12.140625" customWidth="1"/>
    <col min="38" max="38" width="12.85546875" customWidth="1"/>
  </cols>
  <sheetData>
    <row r="1" spans="1:83" ht="75" x14ac:dyDescent="0.25">
      <c r="A1" s="1" t="s">
        <v>31</v>
      </c>
      <c r="B1" s="1" t="s">
        <v>27</v>
      </c>
      <c r="C1" s="1" t="s">
        <v>30</v>
      </c>
      <c r="D1" s="1"/>
      <c r="E1" s="1"/>
      <c r="F1" s="1"/>
      <c r="G1" s="1" t="s">
        <v>25</v>
      </c>
      <c r="H1" s="1"/>
      <c r="I1" s="1" t="s">
        <v>24</v>
      </c>
      <c r="J1" s="1"/>
      <c r="K1" s="1"/>
      <c r="L1" s="1"/>
      <c r="M1" s="1"/>
      <c r="N1" s="1" t="s">
        <v>29</v>
      </c>
      <c r="O1" s="1"/>
      <c r="P1" s="1"/>
      <c r="Q1" s="1" t="s">
        <v>33</v>
      </c>
      <c r="R1" s="1" t="s">
        <v>28</v>
      </c>
      <c r="S1" s="1"/>
      <c r="T1" s="1"/>
      <c r="U1" s="1"/>
      <c r="V1" s="1" t="s">
        <v>25</v>
      </c>
      <c r="W1" s="1"/>
      <c r="X1" s="1"/>
      <c r="Y1" s="1" t="s">
        <v>24</v>
      </c>
      <c r="Z1" s="1"/>
      <c r="AA1" s="1"/>
      <c r="AB1" s="1"/>
      <c r="AC1" s="1"/>
      <c r="AD1" s="1"/>
      <c r="AE1" s="1"/>
      <c r="AF1" s="1"/>
      <c r="AG1" s="1" t="s">
        <v>33</v>
      </c>
      <c r="AH1" s="1" t="s">
        <v>26</v>
      </c>
      <c r="AI1" s="1"/>
      <c r="AJ1" s="1"/>
      <c r="AK1" s="1"/>
      <c r="AL1" s="1"/>
      <c r="AM1" s="1" t="s">
        <v>25</v>
      </c>
      <c r="AN1" s="1"/>
      <c r="AO1" s="1"/>
      <c r="AP1" s="1"/>
      <c r="AQ1" s="1" t="s">
        <v>24</v>
      </c>
      <c r="AR1" s="1"/>
      <c r="AS1" s="1"/>
      <c r="AT1" s="1"/>
      <c r="AU1" s="1"/>
      <c r="AV1" s="1"/>
      <c r="AW1" s="1"/>
      <c r="AX1" s="1"/>
      <c r="BA1" s="1" t="s">
        <v>33</v>
      </c>
      <c r="BB1" s="1" t="s">
        <v>34</v>
      </c>
      <c r="BC1" s="1"/>
      <c r="BD1" s="1"/>
      <c r="BE1" s="1"/>
      <c r="BF1" s="1"/>
      <c r="BG1" s="1"/>
      <c r="BH1" s="1"/>
      <c r="BI1" s="1"/>
      <c r="BJ1" s="1"/>
      <c r="BK1" s="1"/>
      <c r="BL1" s="1" t="s">
        <v>25</v>
      </c>
      <c r="BM1" s="1"/>
      <c r="BN1" s="1"/>
      <c r="BO1" s="1"/>
      <c r="BP1" s="1"/>
      <c r="BQ1" s="1" t="s">
        <v>24</v>
      </c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</row>
    <row r="2" spans="1:83" ht="30" x14ac:dyDescent="0.25">
      <c r="A2" s="1" t="s">
        <v>23</v>
      </c>
      <c r="B2" t="s">
        <v>19</v>
      </c>
      <c r="C2" t="s">
        <v>21</v>
      </c>
      <c r="D2" t="s">
        <v>22</v>
      </c>
      <c r="E2" t="s">
        <v>19</v>
      </c>
      <c r="F2" t="s">
        <v>18</v>
      </c>
      <c r="G2" t="s">
        <v>17</v>
      </c>
      <c r="I2" t="s">
        <v>19</v>
      </c>
      <c r="J2" t="s">
        <v>21</v>
      </c>
      <c r="K2" t="s">
        <v>20</v>
      </c>
      <c r="L2" t="s">
        <v>19</v>
      </c>
      <c r="M2" t="s">
        <v>18</v>
      </c>
      <c r="N2" t="s">
        <v>17</v>
      </c>
      <c r="Q2" t="s">
        <v>15</v>
      </c>
      <c r="R2" t="s">
        <v>14</v>
      </c>
      <c r="S2" t="s">
        <v>42</v>
      </c>
      <c r="T2" t="s">
        <v>16</v>
      </c>
      <c r="U2" t="s">
        <v>11</v>
      </c>
      <c r="V2" t="s">
        <v>10</v>
      </c>
      <c r="W2" t="s">
        <v>9</v>
      </c>
      <c r="Y2" t="s">
        <v>15</v>
      </c>
      <c r="Z2" t="s">
        <v>14</v>
      </c>
      <c r="AA2" t="s">
        <v>42</v>
      </c>
      <c r="AB2" t="s">
        <v>16</v>
      </c>
      <c r="AC2" t="s">
        <v>11</v>
      </c>
      <c r="AD2" t="s">
        <v>10</v>
      </c>
      <c r="AE2" t="s">
        <v>9</v>
      </c>
      <c r="AG2" t="s">
        <v>15</v>
      </c>
      <c r="AH2" t="s">
        <v>14</v>
      </c>
      <c r="AI2" t="s">
        <v>13</v>
      </c>
      <c r="AJ2" t="s">
        <v>42</v>
      </c>
      <c r="AK2" t="s">
        <v>12</v>
      </c>
      <c r="AL2" t="s">
        <v>11</v>
      </c>
      <c r="AM2" t="s">
        <v>10</v>
      </c>
      <c r="AN2" t="s">
        <v>9</v>
      </c>
      <c r="AO2" t="s">
        <v>8</v>
      </c>
      <c r="AQ2" t="s">
        <v>15</v>
      </c>
      <c r="AR2" t="s">
        <v>14</v>
      </c>
      <c r="AS2" t="s">
        <v>13</v>
      </c>
      <c r="AT2" t="s">
        <v>42</v>
      </c>
      <c r="AU2" t="s">
        <v>12</v>
      </c>
      <c r="AV2" t="s">
        <v>11</v>
      </c>
      <c r="AW2" t="s">
        <v>10</v>
      </c>
      <c r="AX2" t="s">
        <v>9</v>
      </c>
      <c r="AY2" t="s">
        <v>8</v>
      </c>
      <c r="BA2" t="s">
        <v>15</v>
      </c>
      <c r="BB2" t="s">
        <v>14</v>
      </c>
      <c r="BC2" t="s">
        <v>13</v>
      </c>
      <c r="BD2" t="s">
        <v>35</v>
      </c>
      <c r="BE2" t="s">
        <v>42</v>
      </c>
      <c r="BF2" t="s">
        <v>36</v>
      </c>
      <c r="BG2" t="s">
        <v>37</v>
      </c>
      <c r="BH2" t="s">
        <v>38</v>
      </c>
      <c r="BI2" t="s">
        <v>39</v>
      </c>
      <c r="BJ2" t="s">
        <v>40</v>
      </c>
      <c r="BK2" t="s">
        <v>41</v>
      </c>
      <c r="BL2" t="s">
        <v>10</v>
      </c>
      <c r="BM2" t="s">
        <v>9</v>
      </c>
      <c r="BN2" t="s">
        <v>8</v>
      </c>
      <c r="BO2" t="s">
        <v>43</v>
      </c>
      <c r="BQ2" t="s">
        <v>15</v>
      </c>
      <c r="BR2" t="s">
        <v>14</v>
      </c>
      <c r="BS2" t="s">
        <v>13</v>
      </c>
      <c r="BT2" t="s">
        <v>35</v>
      </c>
      <c r="BU2" t="s">
        <v>42</v>
      </c>
      <c r="BV2" t="s">
        <v>36</v>
      </c>
      <c r="BW2" t="s">
        <v>37</v>
      </c>
      <c r="BX2" t="s">
        <v>38</v>
      </c>
      <c r="BY2" t="s">
        <v>39</v>
      </c>
      <c r="BZ2" t="s">
        <v>40</v>
      </c>
      <c r="CA2" t="s">
        <v>41</v>
      </c>
      <c r="CB2" t="s">
        <v>10</v>
      </c>
      <c r="CC2" t="s">
        <v>9</v>
      </c>
      <c r="CD2" t="s">
        <v>8</v>
      </c>
      <c r="CE2" t="s">
        <v>43</v>
      </c>
    </row>
    <row r="3" spans="1:83" x14ac:dyDescent="0.25">
      <c r="A3" t="s">
        <v>7</v>
      </c>
      <c r="B3">
        <v>1</v>
      </c>
      <c r="C3">
        <v>0.03</v>
      </c>
      <c r="D3">
        <v>2.5</v>
      </c>
      <c r="E3">
        <v>1</v>
      </c>
      <c r="F3">
        <v>1.008</v>
      </c>
      <c r="G3" t="s">
        <v>44</v>
      </c>
      <c r="I3">
        <v>1</v>
      </c>
      <c r="J3">
        <v>0.03</v>
      </c>
      <c r="K3">
        <v>2.5</v>
      </c>
      <c r="L3">
        <v>1</v>
      </c>
      <c r="M3">
        <v>1.008</v>
      </c>
      <c r="N3" t="s">
        <v>44</v>
      </c>
      <c r="Q3">
        <v>2</v>
      </c>
      <c r="R3">
        <v>1</v>
      </c>
      <c r="S3">
        <v>1</v>
      </c>
      <c r="T3">
        <v>0.109</v>
      </c>
      <c r="U3">
        <v>284512</v>
      </c>
      <c r="V3" t="str">
        <f t="shared" ref="V3:V18" si="0">_xlfn.XLOOKUP(Q3,$B$3:$B$18,$G$3:$G$18)</f>
        <v>C1V</v>
      </c>
      <c r="W3" t="str">
        <f t="shared" ref="W3:W18" si="1">_xlfn.XLOOKUP(R3,$B$3:$B$18,$G$3:$G$18)</f>
        <v>HV</v>
      </c>
      <c r="Y3">
        <v>2</v>
      </c>
      <c r="Z3">
        <v>1</v>
      </c>
      <c r="AA3">
        <v>1</v>
      </c>
      <c r="AB3">
        <v>0.109</v>
      </c>
      <c r="AC3">
        <v>284512</v>
      </c>
      <c r="AD3" t="str">
        <f t="shared" ref="AD3:AE7" si="2">_xlfn.XLOOKUP(Y3,$B$3:$B$18,$G$3:$G$18)</f>
        <v>C1V</v>
      </c>
      <c r="AE3" t="str">
        <f t="shared" si="2"/>
        <v>HV</v>
      </c>
      <c r="AG3">
        <v>1</v>
      </c>
      <c r="AH3">
        <v>2</v>
      </c>
      <c r="AI3">
        <v>3</v>
      </c>
      <c r="AJ3">
        <v>1</v>
      </c>
      <c r="AK3">
        <v>110.7</v>
      </c>
      <c r="AL3">
        <v>313.8</v>
      </c>
      <c r="AM3" t="str">
        <f t="shared" ref="AM3:AM31" si="3">_xlfn.XLOOKUP(AG3,$B$3:$B$18,$G$3:$G$18)</f>
        <v>HV</v>
      </c>
      <c r="AN3" t="str">
        <f t="shared" ref="AN3:AN31" si="4">_xlfn.XLOOKUP(AH3,$B$3:$B$18,$G$3:$G$18)</f>
        <v>C1V</v>
      </c>
      <c r="AO3" t="str">
        <f t="shared" ref="AO3:AO31" si="5">_xlfn.XLOOKUP(AI3,$B$3:$B$18,$G$3:$G$18)</f>
        <v>C1V</v>
      </c>
      <c r="AQ3">
        <v>1</v>
      </c>
      <c r="AR3">
        <v>2</v>
      </c>
      <c r="AS3">
        <v>4</v>
      </c>
      <c r="AT3">
        <v>1</v>
      </c>
      <c r="AU3">
        <v>107.8</v>
      </c>
      <c r="AV3">
        <v>276.14400000000001</v>
      </c>
      <c r="AW3" t="str">
        <f t="shared" ref="AW3:AY10" si="6">_xlfn.XLOOKUP(AQ3,$B$3:$B$18,$G$3:$G$18)</f>
        <v>HV</v>
      </c>
      <c r="AX3" t="str">
        <f t="shared" si="6"/>
        <v>C1V</v>
      </c>
      <c r="AY3" t="str">
        <f t="shared" si="6"/>
        <v>HV</v>
      </c>
      <c r="BA3">
        <v>12</v>
      </c>
      <c r="BB3">
        <v>9</v>
      </c>
      <c r="BC3">
        <v>6</v>
      </c>
      <c r="BD3">
        <v>3</v>
      </c>
      <c r="BE3">
        <v>3</v>
      </c>
      <c r="BF3">
        <v>-2.1970000000000001</v>
      </c>
      <c r="BG3">
        <v>5.2009999999999996</v>
      </c>
      <c r="BH3">
        <v>0.52700000000000002</v>
      </c>
      <c r="BI3">
        <v>-3.5310000000000001</v>
      </c>
      <c r="BJ3">
        <v>0</v>
      </c>
      <c r="BK3">
        <v>0</v>
      </c>
      <c r="BL3" t="str">
        <f t="shared" ref="BL3:BL39" si="7">_xlfn.XLOOKUP(BA3,$B$3:$B$18,$G$3:$G$18)</f>
        <v>C2V</v>
      </c>
      <c r="BM3" t="str">
        <f t="shared" ref="BM3:BM39" si="8">_xlfn.XLOOKUP(BB3,$B$3:$B$18,$G$3:$G$18)</f>
        <v>O1V</v>
      </c>
      <c r="BN3" t="str">
        <f t="shared" ref="BN3:BN39" si="9">_xlfn.XLOOKUP(BC3,$B$3:$B$18,$G$3:$G$18)</f>
        <v>C1V</v>
      </c>
      <c r="BO3" t="str">
        <f t="shared" ref="BO3:BO39" si="10">_xlfn.XLOOKUP(BD3,$B$3:$B$18,$G$3:$G$18)</f>
        <v>C1V</v>
      </c>
      <c r="BQ3">
        <v>12</v>
      </c>
      <c r="BR3">
        <v>9</v>
      </c>
      <c r="BS3">
        <v>6</v>
      </c>
      <c r="BT3">
        <v>3</v>
      </c>
      <c r="BU3">
        <v>3</v>
      </c>
      <c r="BV3">
        <v>-2.1970000000000001</v>
      </c>
      <c r="BW3">
        <v>5.2009999999999996</v>
      </c>
      <c r="BX3">
        <v>0.52700000000000002</v>
      </c>
      <c r="BY3">
        <v>-3.5310000000000001</v>
      </c>
      <c r="BZ3">
        <v>0</v>
      </c>
      <c r="CA3">
        <v>0</v>
      </c>
      <c r="CB3" t="str">
        <f t="shared" ref="CB3:CB12" si="11">_xlfn.XLOOKUP(BQ3,$B$3:$B$18,$G$3:$G$18)</f>
        <v>C2V</v>
      </c>
      <c r="CC3" t="str">
        <f t="shared" ref="CC3:CC12" si="12">_xlfn.XLOOKUP(BR3,$B$3:$B$18,$G$3:$G$18)</f>
        <v>O1V</v>
      </c>
      <c r="CD3" t="str">
        <f t="shared" ref="CD3:CD12" si="13">_xlfn.XLOOKUP(BS3,$B$3:$B$18,$G$3:$G$18)</f>
        <v>C1V</v>
      </c>
      <c r="CE3" t="str">
        <f t="shared" ref="CE3:CE12" si="14">_xlfn.XLOOKUP(BT3,$B$3:$B$18,$G$3:$G$18)</f>
        <v>C1V</v>
      </c>
    </row>
    <row r="4" spans="1:83" x14ac:dyDescent="0.25">
      <c r="A4" t="s">
        <v>6</v>
      </c>
      <c r="B4">
        <v>4</v>
      </c>
      <c r="C4">
        <v>0.03</v>
      </c>
      <c r="D4">
        <v>2.5</v>
      </c>
      <c r="E4">
        <v>4</v>
      </c>
      <c r="F4">
        <v>1.008</v>
      </c>
      <c r="G4" t="s">
        <v>44</v>
      </c>
      <c r="I4">
        <v>9</v>
      </c>
      <c r="J4">
        <v>0.14000000000000001</v>
      </c>
      <c r="K4">
        <v>2.9</v>
      </c>
      <c r="L4">
        <v>9</v>
      </c>
      <c r="M4">
        <v>15.999000000000001</v>
      </c>
      <c r="N4" t="s">
        <v>45</v>
      </c>
      <c r="Q4">
        <v>3</v>
      </c>
      <c r="R4">
        <v>2</v>
      </c>
      <c r="S4">
        <v>1</v>
      </c>
      <c r="T4">
        <v>0.15290000000000001</v>
      </c>
      <c r="U4">
        <v>224262.39999999999</v>
      </c>
      <c r="V4" t="str">
        <f t="shared" si="0"/>
        <v>C1V</v>
      </c>
      <c r="W4" t="str">
        <f t="shared" si="1"/>
        <v>C1V</v>
      </c>
      <c r="Y4">
        <v>16</v>
      </c>
      <c r="Z4">
        <v>12</v>
      </c>
      <c r="AA4">
        <v>1</v>
      </c>
      <c r="AB4">
        <v>0.1229</v>
      </c>
      <c r="AC4">
        <v>476976</v>
      </c>
      <c r="AD4" t="str">
        <f t="shared" si="2"/>
        <v>O2V</v>
      </c>
      <c r="AE4" t="str">
        <f t="shared" si="2"/>
        <v>C2V</v>
      </c>
      <c r="AG4">
        <v>1</v>
      </c>
      <c r="AH4">
        <v>2</v>
      </c>
      <c r="AI4">
        <v>4</v>
      </c>
      <c r="AJ4">
        <v>1</v>
      </c>
      <c r="AK4">
        <v>107.8</v>
      </c>
      <c r="AL4">
        <v>276.14400000000001</v>
      </c>
      <c r="AM4" t="str">
        <f t="shared" si="3"/>
        <v>HV</v>
      </c>
      <c r="AN4" t="str">
        <f t="shared" si="4"/>
        <v>C1V</v>
      </c>
      <c r="AO4" t="str">
        <f t="shared" si="5"/>
        <v>HV</v>
      </c>
      <c r="AQ4">
        <v>13</v>
      </c>
      <c r="AR4">
        <v>10</v>
      </c>
      <c r="AS4">
        <v>14</v>
      </c>
      <c r="AT4">
        <v>1</v>
      </c>
      <c r="AU4">
        <v>109.5</v>
      </c>
      <c r="AV4">
        <v>292.88</v>
      </c>
      <c r="AW4" t="str">
        <f t="shared" si="6"/>
        <v>O1V</v>
      </c>
      <c r="AX4" t="str">
        <f t="shared" si="6"/>
        <v>C1V</v>
      </c>
      <c r="AY4" t="str">
        <f t="shared" si="6"/>
        <v>HV</v>
      </c>
      <c r="BA4">
        <v>12</v>
      </c>
      <c r="BB4">
        <v>13</v>
      </c>
      <c r="BC4">
        <v>10</v>
      </c>
      <c r="BD4">
        <v>6</v>
      </c>
      <c r="BE4">
        <v>3</v>
      </c>
      <c r="BF4">
        <v>-2.1970000000000001</v>
      </c>
      <c r="BG4">
        <v>5.2009999999999996</v>
      </c>
      <c r="BH4">
        <v>0.52700000000000002</v>
      </c>
      <c r="BI4">
        <v>-3.5310000000000001</v>
      </c>
      <c r="BJ4">
        <v>0</v>
      </c>
      <c r="BK4">
        <v>0</v>
      </c>
      <c r="BL4" t="str">
        <f t="shared" si="7"/>
        <v>C2V</v>
      </c>
      <c r="BM4" t="str">
        <f t="shared" si="8"/>
        <v>O1V</v>
      </c>
      <c r="BN4" t="str">
        <f t="shared" si="9"/>
        <v>C1V</v>
      </c>
      <c r="BO4" t="str">
        <f t="shared" si="10"/>
        <v>C1V</v>
      </c>
      <c r="BQ4">
        <v>13</v>
      </c>
      <c r="BR4">
        <v>10</v>
      </c>
      <c r="BS4">
        <v>6</v>
      </c>
      <c r="BT4">
        <v>9</v>
      </c>
      <c r="BU4">
        <v>3</v>
      </c>
      <c r="BV4">
        <v>-1.151</v>
      </c>
      <c r="BW4">
        <v>1.151</v>
      </c>
      <c r="BX4">
        <v>0</v>
      </c>
      <c r="BY4">
        <v>0</v>
      </c>
      <c r="BZ4">
        <v>0</v>
      </c>
      <c r="CA4">
        <v>0</v>
      </c>
      <c r="CB4" t="str">
        <f t="shared" si="11"/>
        <v>O1V</v>
      </c>
      <c r="CC4" t="str">
        <f t="shared" si="12"/>
        <v>C1V</v>
      </c>
      <c r="CD4" t="str">
        <f t="shared" si="13"/>
        <v>C1V</v>
      </c>
      <c r="CE4" t="str">
        <f t="shared" si="14"/>
        <v>O1V</v>
      </c>
    </row>
    <row r="5" spans="1:83" x14ac:dyDescent="0.25">
      <c r="A5" t="s">
        <v>5</v>
      </c>
      <c r="B5">
        <v>5</v>
      </c>
      <c r="C5">
        <v>0.03</v>
      </c>
      <c r="D5">
        <v>2.5</v>
      </c>
      <c r="E5">
        <v>5</v>
      </c>
      <c r="F5">
        <v>1.008</v>
      </c>
      <c r="G5" t="s">
        <v>44</v>
      </c>
      <c r="I5">
        <v>16</v>
      </c>
      <c r="J5">
        <v>0.21</v>
      </c>
      <c r="K5">
        <v>2.96</v>
      </c>
      <c r="L5">
        <v>16</v>
      </c>
      <c r="M5">
        <v>15.999000000000001</v>
      </c>
      <c r="N5" t="s">
        <v>46</v>
      </c>
      <c r="Q5">
        <v>4</v>
      </c>
      <c r="R5">
        <v>2</v>
      </c>
      <c r="S5">
        <v>1</v>
      </c>
      <c r="T5">
        <v>0.109</v>
      </c>
      <c r="U5">
        <v>284512</v>
      </c>
      <c r="V5" t="str">
        <f t="shared" si="0"/>
        <v>HV</v>
      </c>
      <c r="W5" t="str">
        <f t="shared" si="1"/>
        <v>C1V</v>
      </c>
      <c r="Y5">
        <v>12</v>
      </c>
      <c r="Z5">
        <v>9</v>
      </c>
      <c r="AA5">
        <v>1</v>
      </c>
      <c r="AB5">
        <v>0.13270000000000001</v>
      </c>
      <c r="AC5">
        <v>179075.20000000001</v>
      </c>
      <c r="AD5" t="str">
        <f t="shared" si="2"/>
        <v>C2V</v>
      </c>
      <c r="AE5" t="str">
        <f t="shared" si="2"/>
        <v>O1V</v>
      </c>
      <c r="AG5">
        <v>1</v>
      </c>
      <c r="AH5">
        <v>2</v>
      </c>
      <c r="AI5">
        <v>5</v>
      </c>
      <c r="AJ5">
        <v>1</v>
      </c>
      <c r="AK5">
        <v>107.8</v>
      </c>
      <c r="AL5">
        <v>276.14400000000001</v>
      </c>
      <c r="AM5" t="str">
        <f t="shared" si="3"/>
        <v>HV</v>
      </c>
      <c r="AN5" t="str">
        <f t="shared" si="4"/>
        <v>C1V</v>
      </c>
      <c r="AO5" t="str">
        <f t="shared" si="5"/>
        <v>HV</v>
      </c>
      <c r="AQ5">
        <v>1</v>
      </c>
      <c r="AR5">
        <v>2</v>
      </c>
      <c r="AS5">
        <v>3</v>
      </c>
      <c r="AT5">
        <v>1</v>
      </c>
      <c r="AU5">
        <v>110.7</v>
      </c>
      <c r="AV5">
        <v>313.8</v>
      </c>
      <c r="AW5" t="str">
        <f t="shared" si="6"/>
        <v>HV</v>
      </c>
      <c r="AX5" t="str">
        <f t="shared" si="6"/>
        <v>C1V</v>
      </c>
      <c r="AY5" t="str">
        <f t="shared" si="6"/>
        <v>C1V</v>
      </c>
      <c r="BA5">
        <v>12</v>
      </c>
      <c r="BB5">
        <v>9</v>
      </c>
      <c r="BC5">
        <v>6</v>
      </c>
      <c r="BD5">
        <v>10</v>
      </c>
      <c r="BE5">
        <v>3</v>
      </c>
      <c r="BF5">
        <v>-2.1970000000000001</v>
      </c>
      <c r="BG5">
        <v>5.2009999999999996</v>
      </c>
      <c r="BH5">
        <v>0.52700000000000002</v>
      </c>
      <c r="BI5">
        <v>-3.5310000000000001</v>
      </c>
      <c r="BJ5">
        <v>0</v>
      </c>
      <c r="BK5">
        <v>0</v>
      </c>
      <c r="BL5" t="str">
        <f t="shared" si="7"/>
        <v>C2V</v>
      </c>
      <c r="BM5" t="str">
        <f t="shared" si="8"/>
        <v>O1V</v>
      </c>
      <c r="BN5" t="str">
        <f t="shared" si="9"/>
        <v>C1V</v>
      </c>
      <c r="BO5" t="str">
        <f t="shared" si="10"/>
        <v>C1V</v>
      </c>
      <c r="BQ5">
        <v>12</v>
      </c>
      <c r="BR5">
        <v>9</v>
      </c>
      <c r="BS5">
        <v>6</v>
      </c>
      <c r="BT5">
        <v>11</v>
      </c>
      <c r="BU5">
        <v>3</v>
      </c>
      <c r="BV5">
        <v>0.41399999999999998</v>
      </c>
      <c r="BW5">
        <v>1.2430000000000001</v>
      </c>
      <c r="BX5">
        <v>0</v>
      </c>
      <c r="BY5">
        <v>-1.657</v>
      </c>
      <c r="BZ5">
        <v>0</v>
      </c>
      <c r="CA5">
        <v>0</v>
      </c>
      <c r="CB5" t="str">
        <f t="shared" si="11"/>
        <v>C2V</v>
      </c>
      <c r="CC5" t="str">
        <f t="shared" si="12"/>
        <v>O1V</v>
      </c>
      <c r="CD5" t="str">
        <f t="shared" si="13"/>
        <v>C1V</v>
      </c>
      <c r="CE5" t="str">
        <f t="shared" si="14"/>
        <v>HV</v>
      </c>
    </row>
    <row r="6" spans="1:83" x14ac:dyDescent="0.25">
      <c r="A6" s="2" t="s">
        <v>4</v>
      </c>
      <c r="B6">
        <v>7</v>
      </c>
      <c r="C6">
        <v>0.03</v>
      </c>
      <c r="D6">
        <v>2.5</v>
      </c>
      <c r="E6">
        <v>7</v>
      </c>
      <c r="F6">
        <v>1.008</v>
      </c>
      <c r="G6" t="s">
        <v>44</v>
      </c>
      <c r="I6">
        <v>2</v>
      </c>
      <c r="J6">
        <v>6.6000000000000003E-2</v>
      </c>
      <c r="K6">
        <v>3.5</v>
      </c>
      <c r="L6">
        <v>2</v>
      </c>
      <c r="M6">
        <v>12.010999999999999</v>
      </c>
      <c r="N6" t="s">
        <v>47</v>
      </c>
      <c r="Q6">
        <v>5</v>
      </c>
      <c r="R6">
        <v>2</v>
      </c>
      <c r="S6">
        <v>1</v>
      </c>
      <c r="T6">
        <v>0.109</v>
      </c>
      <c r="U6">
        <v>284512</v>
      </c>
      <c r="V6" t="str">
        <f t="shared" si="0"/>
        <v>HV</v>
      </c>
      <c r="W6" t="str">
        <f t="shared" si="1"/>
        <v>C1V</v>
      </c>
      <c r="Y6">
        <v>9</v>
      </c>
      <c r="Z6">
        <v>6</v>
      </c>
      <c r="AA6">
        <v>1</v>
      </c>
      <c r="AB6">
        <v>0.14099999999999999</v>
      </c>
      <c r="AC6">
        <v>267776</v>
      </c>
      <c r="AD6" t="str">
        <f t="shared" si="2"/>
        <v>O1V</v>
      </c>
      <c r="AE6" t="str">
        <f t="shared" si="2"/>
        <v>C1V</v>
      </c>
      <c r="AG6">
        <v>2</v>
      </c>
      <c r="AH6">
        <v>3</v>
      </c>
      <c r="AI6">
        <v>6</v>
      </c>
      <c r="AJ6">
        <v>1</v>
      </c>
      <c r="AK6">
        <v>112.7</v>
      </c>
      <c r="AL6">
        <v>488.27300000000002</v>
      </c>
      <c r="AM6" t="str">
        <f t="shared" si="3"/>
        <v>C1V</v>
      </c>
      <c r="AN6" t="str">
        <f t="shared" si="4"/>
        <v>C1V</v>
      </c>
      <c r="AO6" t="str">
        <f t="shared" si="5"/>
        <v>C1V</v>
      </c>
      <c r="AQ6">
        <v>3</v>
      </c>
      <c r="AR6">
        <v>6</v>
      </c>
      <c r="AS6">
        <v>9</v>
      </c>
      <c r="AT6">
        <v>1</v>
      </c>
      <c r="AU6">
        <v>109.5</v>
      </c>
      <c r="AV6">
        <v>418.4</v>
      </c>
      <c r="AW6" t="str">
        <f t="shared" si="6"/>
        <v>C1V</v>
      </c>
      <c r="AX6" t="str">
        <f t="shared" si="6"/>
        <v>C1V</v>
      </c>
      <c r="AY6" t="str">
        <f t="shared" si="6"/>
        <v>O1V</v>
      </c>
      <c r="BA6">
        <v>12</v>
      </c>
      <c r="BB6">
        <v>9</v>
      </c>
      <c r="BC6">
        <v>6</v>
      </c>
      <c r="BD6">
        <v>11</v>
      </c>
      <c r="BE6">
        <v>3</v>
      </c>
      <c r="BF6">
        <v>0.41399999999999998</v>
      </c>
      <c r="BG6">
        <v>1.2430000000000001</v>
      </c>
      <c r="BH6">
        <v>0</v>
      </c>
      <c r="BI6">
        <v>-1.657</v>
      </c>
      <c r="BJ6">
        <v>0</v>
      </c>
      <c r="BK6">
        <v>0</v>
      </c>
      <c r="BL6" t="str">
        <f t="shared" si="7"/>
        <v>C2V</v>
      </c>
      <c r="BM6" t="str">
        <f t="shared" si="8"/>
        <v>O1V</v>
      </c>
      <c r="BN6" t="str">
        <f t="shared" si="9"/>
        <v>C1V</v>
      </c>
      <c r="BO6" t="str">
        <f t="shared" si="10"/>
        <v>HV</v>
      </c>
      <c r="BQ6">
        <v>10</v>
      </c>
      <c r="BR6">
        <v>6</v>
      </c>
      <c r="BS6">
        <v>3</v>
      </c>
      <c r="BT6">
        <v>7</v>
      </c>
      <c r="BU6">
        <v>3</v>
      </c>
      <c r="BV6">
        <v>0.628</v>
      </c>
      <c r="BW6">
        <v>1.883</v>
      </c>
      <c r="BX6">
        <v>0</v>
      </c>
      <c r="BY6">
        <v>-2.5099999999999998</v>
      </c>
      <c r="BZ6">
        <v>0</v>
      </c>
      <c r="CA6">
        <v>0</v>
      </c>
      <c r="CB6" t="str">
        <f t="shared" si="11"/>
        <v>C1V</v>
      </c>
      <c r="CC6" t="str">
        <f t="shared" si="12"/>
        <v>C1V</v>
      </c>
      <c r="CD6" t="str">
        <f t="shared" si="13"/>
        <v>C1V</v>
      </c>
      <c r="CE6" t="str">
        <f t="shared" si="14"/>
        <v>HV</v>
      </c>
    </row>
    <row r="7" spans="1:83" x14ac:dyDescent="0.25">
      <c r="A7" t="s">
        <v>3</v>
      </c>
      <c r="B7">
        <v>8</v>
      </c>
      <c r="C7">
        <v>0.03</v>
      </c>
      <c r="D7">
        <v>2.5</v>
      </c>
      <c r="E7">
        <v>8</v>
      </c>
      <c r="F7">
        <v>1.008</v>
      </c>
      <c r="G7" t="s">
        <v>44</v>
      </c>
      <c r="I7">
        <v>12</v>
      </c>
      <c r="J7">
        <v>7.0000000000000007E-2</v>
      </c>
      <c r="K7">
        <v>3.55</v>
      </c>
      <c r="L7">
        <v>12</v>
      </c>
      <c r="M7">
        <v>12.010999999999999</v>
      </c>
      <c r="N7" t="s">
        <v>48</v>
      </c>
      <c r="Q7">
        <v>6</v>
      </c>
      <c r="R7">
        <v>3</v>
      </c>
      <c r="S7">
        <v>1</v>
      </c>
      <c r="T7">
        <v>0.15290000000000001</v>
      </c>
      <c r="U7">
        <v>224262.39999999999</v>
      </c>
      <c r="V7" t="str">
        <f t="shared" si="0"/>
        <v>C1V</v>
      </c>
      <c r="W7" t="str">
        <f t="shared" si="1"/>
        <v>C1V</v>
      </c>
      <c r="Y7">
        <v>3</v>
      </c>
      <c r="Z7">
        <v>2</v>
      </c>
      <c r="AA7">
        <v>1</v>
      </c>
      <c r="AB7">
        <v>0.15290000000000001</v>
      </c>
      <c r="AC7">
        <v>224262.39999999999</v>
      </c>
      <c r="AD7" t="str">
        <f t="shared" si="2"/>
        <v>C1V</v>
      </c>
      <c r="AE7" t="str">
        <f t="shared" si="2"/>
        <v>C1V</v>
      </c>
      <c r="AG7">
        <v>2</v>
      </c>
      <c r="AH7">
        <v>3</v>
      </c>
      <c r="AI7">
        <v>7</v>
      </c>
      <c r="AJ7">
        <v>1</v>
      </c>
      <c r="AK7">
        <v>110.7</v>
      </c>
      <c r="AL7">
        <v>313.8</v>
      </c>
      <c r="AM7" t="str">
        <f t="shared" si="3"/>
        <v>C1V</v>
      </c>
      <c r="AN7" t="str">
        <f t="shared" si="4"/>
        <v>C1V</v>
      </c>
      <c r="AO7" t="str">
        <f t="shared" si="5"/>
        <v>HV</v>
      </c>
      <c r="AQ7">
        <v>2</v>
      </c>
      <c r="AR7">
        <v>3</v>
      </c>
      <c r="AS7">
        <v>6</v>
      </c>
      <c r="AT7">
        <v>1</v>
      </c>
      <c r="AU7">
        <v>112.7</v>
      </c>
      <c r="AV7">
        <v>488.27300000000002</v>
      </c>
      <c r="AW7" t="str">
        <f t="shared" si="6"/>
        <v>C1V</v>
      </c>
      <c r="AX7" t="str">
        <f t="shared" si="6"/>
        <v>C1V</v>
      </c>
      <c r="AY7" t="str">
        <f t="shared" si="6"/>
        <v>C1V</v>
      </c>
      <c r="BA7">
        <v>10</v>
      </c>
      <c r="BB7">
        <v>6</v>
      </c>
      <c r="BC7">
        <v>3</v>
      </c>
      <c r="BD7">
        <v>2</v>
      </c>
      <c r="BE7">
        <v>3</v>
      </c>
      <c r="BF7">
        <v>2.3010000000000002</v>
      </c>
      <c r="BG7">
        <v>-1.464</v>
      </c>
      <c r="BH7">
        <v>0.83699999999999997</v>
      </c>
      <c r="BI7">
        <v>-1.6739999999999999</v>
      </c>
      <c r="BJ7">
        <v>0</v>
      </c>
      <c r="BK7">
        <v>0</v>
      </c>
      <c r="BL7" t="str">
        <f t="shared" si="7"/>
        <v>C1V</v>
      </c>
      <c r="BM7" t="str">
        <f t="shared" si="8"/>
        <v>C1V</v>
      </c>
      <c r="BN7" t="str">
        <f t="shared" si="9"/>
        <v>C1V</v>
      </c>
      <c r="BO7" t="str">
        <f t="shared" si="10"/>
        <v>C1V</v>
      </c>
      <c r="BQ7">
        <v>14</v>
      </c>
      <c r="BR7">
        <v>10</v>
      </c>
      <c r="BS7">
        <v>6</v>
      </c>
      <c r="BT7">
        <v>11</v>
      </c>
      <c r="BU7">
        <v>3</v>
      </c>
      <c r="BV7">
        <v>0.628</v>
      </c>
      <c r="BW7">
        <v>1.883</v>
      </c>
      <c r="BX7">
        <v>0</v>
      </c>
      <c r="BY7">
        <v>-2.5099999999999998</v>
      </c>
      <c r="BZ7">
        <v>0</v>
      </c>
      <c r="CA7">
        <v>0</v>
      </c>
      <c r="CB7" t="str">
        <f t="shared" si="11"/>
        <v>HV</v>
      </c>
      <c r="CC7" t="str">
        <f t="shared" si="12"/>
        <v>C1V</v>
      </c>
      <c r="CD7" t="str">
        <f t="shared" si="13"/>
        <v>C1V</v>
      </c>
      <c r="CE7" t="str">
        <f t="shared" si="14"/>
        <v>HV</v>
      </c>
    </row>
    <row r="8" spans="1:83" ht="60" x14ac:dyDescent="0.25">
      <c r="A8" s="1" t="s">
        <v>2</v>
      </c>
      <c r="B8">
        <v>11</v>
      </c>
      <c r="C8">
        <v>0.03</v>
      </c>
      <c r="D8">
        <v>2.5</v>
      </c>
      <c r="E8">
        <v>11</v>
      </c>
      <c r="F8">
        <v>1.008</v>
      </c>
      <c r="G8" t="s">
        <v>44</v>
      </c>
      <c r="Q8">
        <v>7</v>
      </c>
      <c r="R8">
        <v>3</v>
      </c>
      <c r="S8">
        <v>1</v>
      </c>
      <c r="T8">
        <v>0.109</v>
      </c>
      <c r="U8">
        <v>284512</v>
      </c>
      <c r="V8" t="str">
        <f t="shared" si="0"/>
        <v>HV</v>
      </c>
      <c r="W8" t="str">
        <f t="shared" si="1"/>
        <v>C1V</v>
      </c>
      <c r="AG8">
        <v>2</v>
      </c>
      <c r="AH8">
        <v>3</v>
      </c>
      <c r="AI8">
        <v>8</v>
      </c>
      <c r="AJ8">
        <v>1</v>
      </c>
      <c r="AK8">
        <v>110.7</v>
      </c>
      <c r="AL8">
        <v>313.8</v>
      </c>
      <c r="AM8" t="str">
        <f t="shared" si="3"/>
        <v>C1V</v>
      </c>
      <c r="AN8" t="str">
        <f t="shared" si="4"/>
        <v>C1V</v>
      </c>
      <c r="AO8" t="str">
        <f t="shared" si="5"/>
        <v>HV</v>
      </c>
      <c r="AQ8">
        <v>9</v>
      </c>
      <c r="AR8">
        <v>12</v>
      </c>
      <c r="AS8">
        <v>13</v>
      </c>
      <c r="AT8">
        <v>1</v>
      </c>
      <c r="AU8">
        <v>118.18</v>
      </c>
      <c r="AV8">
        <v>584.923</v>
      </c>
      <c r="AW8" t="str">
        <f t="shared" si="6"/>
        <v>O1V</v>
      </c>
      <c r="AX8" t="str">
        <f t="shared" si="6"/>
        <v>C2V</v>
      </c>
      <c r="AY8" t="str">
        <f t="shared" si="6"/>
        <v>O1V</v>
      </c>
      <c r="BA8">
        <v>10</v>
      </c>
      <c r="BB8">
        <v>6</v>
      </c>
      <c r="BC8">
        <v>3</v>
      </c>
      <c r="BD8">
        <v>7</v>
      </c>
      <c r="BE8">
        <v>3</v>
      </c>
      <c r="BF8">
        <v>0.628</v>
      </c>
      <c r="BG8">
        <v>1.883</v>
      </c>
      <c r="BH8">
        <v>0</v>
      </c>
      <c r="BI8">
        <v>-2.5099999999999998</v>
      </c>
      <c r="BJ8">
        <v>0</v>
      </c>
      <c r="BK8">
        <v>0</v>
      </c>
      <c r="BL8" t="str">
        <f t="shared" si="7"/>
        <v>C1V</v>
      </c>
      <c r="BM8" t="str">
        <f t="shared" si="8"/>
        <v>C1V</v>
      </c>
      <c r="BN8" t="str">
        <f t="shared" si="9"/>
        <v>C1V</v>
      </c>
      <c r="BO8" t="str">
        <f t="shared" si="10"/>
        <v>HV</v>
      </c>
      <c r="BQ8">
        <v>14</v>
      </c>
      <c r="BR8">
        <v>10</v>
      </c>
      <c r="BS8">
        <v>6</v>
      </c>
      <c r="BT8">
        <v>9</v>
      </c>
      <c r="BU8">
        <v>3</v>
      </c>
      <c r="BV8">
        <v>0.97899999999999998</v>
      </c>
      <c r="BW8">
        <v>2.9369999999999998</v>
      </c>
      <c r="BX8">
        <v>0</v>
      </c>
      <c r="BY8">
        <v>-3.9159999999999999</v>
      </c>
      <c r="BZ8">
        <v>0</v>
      </c>
      <c r="CA8">
        <v>0</v>
      </c>
      <c r="CB8" t="str">
        <f t="shared" si="11"/>
        <v>HV</v>
      </c>
      <c r="CC8" t="str">
        <f t="shared" si="12"/>
        <v>C1V</v>
      </c>
      <c r="CD8" t="str">
        <f t="shared" si="13"/>
        <v>C1V</v>
      </c>
      <c r="CE8" t="str">
        <f t="shared" si="14"/>
        <v>O1V</v>
      </c>
    </row>
    <row r="9" spans="1:83" x14ac:dyDescent="0.25">
      <c r="A9" t="s">
        <v>1</v>
      </c>
      <c r="B9">
        <v>14</v>
      </c>
      <c r="C9">
        <v>0.03</v>
      </c>
      <c r="D9">
        <v>2.5</v>
      </c>
      <c r="E9">
        <v>14</v>
      </c>
      <c r="F9">
        <v>1.008</v>
      </c>
      <c r="G9" t="s">
        <v>44</v>
      </c>
      <c r="Q9">
        <v>8</v>
      </c>
      <c r="R9">
        <v>3</v>
      </c>
      <c r="S9">
        <v>1</v>
      </c>
      <c r="T9">
        <v>0.109</v>
      </c>
      <c r="U9">
        <v>284512</v>
      </c>
      <c r="V9" t="str">
        <f t="shared" si="0"/>
        <v>HV</v>
      </c>
      <c r="W9" t="str">
        <f t="shared" si="1"/>
        <v>C1V</v>
      </c>
      <c r="AG9">
        <v>3</v>
      </c>
      <c r="AH9">
        <v>6</v>
      </c>
      <c r="AI9">
        <v>9</v>
      </c>
      <c r="AJ9">
        <v>1</v>
      </c>
      <c r="AK9">
        <v>109.5</v>
      </c>
      <c r="AL9">
        <v>418.4</v>
      </c>
      <c r="AM9" t="str">
        <f t="shared" si="3"/>
        <v>C1V</v>
      </c>
      <c r="AN9" t="str">
        <f t="shared" si="4"/>
        <v>C1V</v>
      </c>
      <c r="AO9" t="str">
        <f t="shared" si="5"/>
        <v>O1V</v>
      </c>
      <c r="AQ9">
        <v>6</v>
      </c>
      <c r="AR9">
        <v>9</v>
      </c>
      <c r="AS9">
        <v>12</v>
      </c>
      <c r="AT9">
        <v>1</v>
      </c>
      <c r="AU9">
        <v>116.9</v>
      </c>
      <c r="AV9">
        <v>694.54399999999998</v>
      </c>
      <c r="AW9" t="str">
        <f t="shared" si="6"/>
        <v>C1V</v>
      </c>
      <c r="AX9" t="str">
        <f t="shared" si="6"/>
        <v>O1V</v>
      </c>
      <c r="AY9" t="str">
        <f t="shared" si="6"/>
        <v>C2V</v>
      </c>
      <c r="BA9">
        <v>6</v>
      </c>
      <c r="BB9">
        <v>3</v>
      </c>
      <c r="BC9">
        <v>2</v>
      </c>
      <c r="BD9">
        <v>1</v>
      </c>
      <c r="BE9">
        <v>3</v>
      </c>
      <c r="BF9">
        <v>0.628</v>
      </c>
      <c r="BG9">
        <v>1.883</v>
      </c>
      <c r="BH9">
        <v>0</v>
      </c>
      <c r="BI9">
        <v>-2.5099999999999998</v>
      </c>
      <c r="BJ9">
        <v>0</v>
      </c>
      <c r="BK9">
        <v>0</v>
      </c>
      <c r="BL9" t="str">
        <f t="shared" si="7"/>
        <v>C1V</v>
      </c>
      <c r="BM9" t="str">
        <f t="shared" si="8"/>
        <v>C1V</v>
      </c>
      <c r="BN9" t="str">
        <f t="shared" si="9"/>
        <v>C1V</v>
      </c>
      <c r="BO9" t="str">
        <f t="shared" si="10"/>
        <v>HV</v>
      </c>
      <c r="BQ9">
        <v>10</v>
      </c>
      <c r="BR9">
        <v>6</v>
      </c>
      <c r="BS9">
        <v>3</v>
      </c>
      <c r="BT9">
        <v>2</v>
      </c>
      <c r="BU9">
        <v>3</v>
      </c>
      <c r="BV9">
        <v>2.3010000000000002</v>
      </c>
      <c r="BW9">
        <v>-1.464</v>
      </c>
      <c r="BX9">
        <v>0.83699999999999997</v>
      </c>
      <c r="BY9">
        <v>-1.6739999999999999</v>
      </c>
      <c r="BZ9">
        <v>0</v>
      </c>
      <c r="CA9">
        <v>0</v>
      </c>
      <c r="CB9" t="str">
        <f t="shared" si="11"/>
        <v>C1V</v>
      </c>
      <c r="CC9" t="str">
        <f t="shared" si="12"/>
        <v>C1V</v>
      </c>
      <c r="CD9" t="str">
        <f t="shared" si="13"/>
        <v>C1V</v>
      </c>
      <c r="CE9" t="str">
        <f t="shared" si="14"/>
        <v>C1V</v>
      </c>
    </row>
    <row r="10" spans="1:83" x14ac:dyDescent="0.25">
      <c r="A10" t="s">
        <v>0</v>
      </c>
      <c r="B10">
        <v>15</v>
      </c>
      <c r="C10">
        <v>0.03</v>
      </c>
      <c r="D10">
        <v>2.5</v>
      </c>
      <c r="E10">
        <v>15</v>
      </c>
      <c r="F10">
        <v>1.008</v>
      </c>
      <c r="G10" t="s">
        <v>44</v>
      </c>
      <c r="Q10">
        <v>9</v>
      </c>
      <c r="R10">
        <v>6</v>
      </c>
      <c r="S10">
        <v>1</v>
      </c>
      <c r="T10">
        <v>0.14099999999999999</v>
      </c>
      <c r="U10">
        <v>267776</v>
      </c>
      <c r="V10" t="str">
        <f t="shared" si="0"/>
        <v>O1V</v>
      </c>
      <c r="W10" t="str">
        <f t="shared" si="1"/>
        <v>C1V</v>
      </c>
      <c r="AG10">
        <v>3</v>
      </c>
      <c r="AH10">
        <v>6</v>
      </c>
      <c r="AI10">
        <v>10</v>
      </c>
      <c r="AJ10">
        <v>1</v>
      </c>
      <c r="AK10">
        <v>112.7</v>
      </c>
      <c r="AL10">
        <v>488.27300000000002</v>
      </c>
      <c r="AM10" t="str">
        <f t="shared" si="3"/>
        <v>C1V</v>
      </c>
      <c r="AN10" t="str">
        <f t="shared" si="4"/>
        <v>C1V</v>
      </c>
      <c r="AO10" t="str">
        <f t="shared" si="5"/>
        <v>C1V</v>
      </c>
      <c r="AQ10">
        <v>9</v>
      </c>
      <c r="AR10">
        <v>12</v>
      </c>
      <c r="AS10">
        <v>16</v>
      </c>
      <c r="AT10">
        <v>1</v>
      </c>
      <c r="AU10">
        <v>123.4</v>
      </c>
      <c r="AV10">
        <v>694.54399999999998</v>
      </c>
      <c r="AW10" t="str">
        <f t="shared" si="6"/>
        <v>O1V</v>
      </c>
      <c r="AX10" t="str">
        <f t="shared" si="6"/>
        <v>C2V</v>
      </c>
      <c r="AY10" t="str">
        <f t="shared" si="6"/>
        <v>O2V</v>
      </c>
      <c r="BA10">
        <v>6</v>
      </c>
      <c r="BB10">
        <v>3</v>
      </c>
      <c r="BC10">
        <v>2</v>
      </c>
      <c r="BD10">
        <v>5</v>
      </c>
      <c r="BE10">
        <v>3</v>
      </c>
      <c r="BF10">
        <v>0.628</v>
      </c>
      <c r="BG10">
        <v>1.883</v>
      </c>
      <c r="BH10">
        <v>0</v>
      </c>
      <c r="BI10">
        <v>-2.5099999999999998</v>
      </c>
      <c r="BJ10">
        <v>0</v>
      </c>
      <c r="BK10">
        <v>0</v>
      </c>
      <c r="BL10" t="str">
        <f t="shared" si="7"/>
        <v>C1V</v>
      </c>
      <c r="BM10" t="str">
        <f t="shared" si="8"/>
        <v>C1V</v>
      </c>
      <c r="BN10" t="str">
        <f t="shared" si="9"/>
        <v>C1V</v>
      </c>
      <c r="BO10" t="str">
        <f t="shared" si="10"/>
        <v>HV</v>
      </c>
      <c r="BQ10">
        <v>13</v>
      </c>
      <c r="BR10">
        <v>10</v>
      </c>
      <c r="BS10">
        <v>6</v>
      </c>
      <c r="BT10">
        <v>3</v>
      </c>
      <c r="BU10">
        <v>3</v>
      </c>
      <c r="BV10">
        <v>2.8740000000000001</v>
      </c>
      <c r="BW10">
        <v>0.58199999999999996</v>
      </c>
      <c r="BX10">
        <v>2.0920000000000001</v>
      </c>
      <c r="BY10">
        <v>-5.548</v>
      </c>
      <c r="BZ10">
        <v>0</v>
      </c>
      <c r="CA10">
        <v>0</v>
      </c>
      <c r="CB10" t="str">
        <f t="shared" si="11"/>
        <v>O1V</v>
      </c>
      <c r="CC10" t="str">
        <f t="shared" si="12"/>
        <v>C1V</v>
      </c>
      <c r="CD10" t="str">
        <f t="shared" si="13"/>
        <v>C1V</v>
      </c>
      <c r="CE10" t="str">
        <f t="shared" si="14"/>
        <v>C1V</v>
      </c>
    </row>
    <row r="11" spans="1:83" x14ac:dyDescent="0.25">
      <c r="B11">
        <v>9</v>
      </c>
      <c r="C11">
        <v>0.14000000000000001</v>
      </c>
      <c r="D11">
        <v>2.9</v>
      </c>
      <c r="E11">
        <v>9</v>
      </c>
      <c r="F11">
        <v>15.999000000000001</v>
      </c>
      <c r="G11" t="s">
        <v>45</v>
      </c>
      <c r="Q11">
        <v>10</v>
      </c>
      <c r="R11">
        <v>6</v>
      </c>
      <c r="S11">
        <v>1</v>
      </c>
      <c r="T11">
        <v>0.15290000000000001</v>
      </c>
      <c r="U11">
        <v>224262.39999999999</v>
      </c>
      <c r="V11" t="str">
        <f t="shared" si="0"/>
        <v>C1V</v>
      </c>
      <c r="W11" t="str">
        <f t="shared" si="1"/>
        <v>C1V</v>
      </c>
      <c r="AG11">
        <v>3</v>
      </c>
      <c r="AH11">
        <v>6</v>
      </c>
      <c r="AI11">
        <v>11</v>
      </c>
      <c r="AJ11">
        <v>1</v>
      </c>
      <c r="AK11">
        <v>110.7</v>
      </c>
      <c r="AL11">
        <v>313.8</v>
      </c>
      <c r="AM11" t="str">
        <f t="shared" si="3"/>
        <v>C1V</v>
      </c>
      <c r="AN11" t="str">
        <f t="shared" si="4"/>
        <v>C1V</v>
      </c>
      <c r="AO11" t="str">
        <f t="shared" si="5"/>
        <v>HV</v>
      </c>
      <c r="BA11">
        <v>10</v>
      </c>
      <c r="BB11">
        <v>6</v>
      </c>
      <c r="BC11">
        <v>3</v>
      </c>
      <c r="BD11">
        <v>8</v>
      </c>
      <c r="BE11">
        <v>3</v>
      </c>
      <c r="BF11">
        <v>0.628</v>
      </c>
      <c r="BG11">
        <v>1.883</v>
      </c>
      <c r="BH11">
        <v>0</v>
      </c>
      <c r="BI11">
        <v>-2.5099999999999998</v>
      </c>
      <c r="BJ11">
        <v>0</v>
      </c>
      <c r="BK11">
        <v>0</v>
      </c>
      <c r="BL11" t="str">
        <f t="shared" si="7"/>
        <v>C1V</v>
      </c>
      <c r="BM11" t="str">
        <f t="shared" si="8"/>
        <v>C1V</v>
      </c>
      <c r="BN11" t="str">
        <f t="shared" si="9"/>
        <v>C1V</v>
      </c>
      <c r="BO11" t="str">
        <f t="shared" si="10"/>
        <v>HV</v>
      </c>
      <c r="BQ11">
        <v>16</v>
      </c>
      <c r="BR11">
        <v>12</v>
      </c>
      <c r="BS11">
        <v>13</v>
      </c>
      <c r="BT11">
        <v>10</v>
      </c>
      <c r="BU11">
        <v>3</v>
      </c>
      <c r="BV11">
        <v>21.439</v>
      </c>
      <c r="BW11">
        <v>0</v>
      </c>
      <c r="BX11">
        <v>-21.439</v>
      </c>
      <c r="BY11">
        <v>0</v>
      </c>
      <c r="BZ11">
        <v>0</v>
      </c>
      <c r="CA11">
        <v>0</v>
      </c>
      <c r="CB11" t="str">
        <f t="shared" si="11"/>
        <v>O2V</v>
      </c>
      <c r="CC11" t="str">
        <f t="shared" si="12"/>
        <v>C2V</v>
      </c>
      <c r="CD11" t="str">
        <f t="shared" si="13"/>
        <v>O1V</v>
      </c>
      <c r="CE11" t="str">
        <f t="shared" si="14"/>
        <v>C1V</v>
      </c>
    </row>
    <row r="12" spans="1:83" x14ac:dyDescent="0.25">
      <c r="B12">
        <v>13</v>
      </c>
      <c r="C12">
        <v>0.14000000000000001</v>
      </c>
      <c r="D12">
        <v>2.9</v>
      </c>
      <c r="E12">
        <v>13</v>
      </c>
      <c r="F12">
        <v>15.999000000000001</v>
      </c>
      <c r="G12" t="s">
        <v>45</v>
      </c>
      <c r="Q12">
        <v>11</v>
      </c>
      <c r="R12">
        <v>6</v>
      </c>
      <c r="S12">
        <v>1</v>
      </c>
      <c r="T12">
        <v>0.109</v>
      </c>
      <c r="U12">
        <v>284512</v>
      </c>
      <c r="V12" t="str">
        <f t="shared" si="0"/>
        <v>HV</v>
      </c>
      <c r="W12" t="str">
        <f t="shared" si="1"/>
        <v>C1V</v>
      </c>
      <c r="AG12">
        <v>6</v>
      </c>
      <c r="AH12">
        <v>9</v>
      </c>
      <c r="AI12">
        <v>12</v>
      </c>
      <c r="AJ12">
        <v>1</v>
      </c>
      <c r="AK12">
        <v>116.9</v>
      </c>
      <c r="AL12">
        <v>694.54399999999998</v>
      </c>
      <c r="AM12" t="str">
        <f t="shared" si="3"/>
        <v>C1V</v>
      </c>
      <c r="AN12" t="str">
        <f t="shared" si="4"/>
        <v>O1V</v>
      </c>
      <c r="AO12" t="str">
        <f t="shared" si="5"/>
        <v>C2V</v>
      </c>
      <c r="BA12">
        <v>6</v>
      </c>
      <c r="BB12">
        <v>3</v>
      </c>
      <c r="BC12">
        <v>2</v>
      </c>
      <c r="BD12">
        <v>4</v>
      </c>
      <c r="BE12">
        <v>3</v>
      </c>
      <c r="BF12">
        <v>0.628</v>
      </c>
      <c r="BG12">
        <v>1.883</v>
      </c>
      <c r="BH12">
        <v>0</v>
      </c>
      <c r="BI12">
        <v>-2.5099999999999998</v>
      </c>
      <c r="BJ12">
        <v>0</v>
      </c>
      <c r="BK12">
        <v>0</v>
      </c>
      <c r="BL12" t="str">
        <f t="shared" si="7"/>
        <v>C1V</v>
      </c>
      <c r="BM12" t="str">
        <f t="shared" si="8"/>
        <v>C1V</v>
      </c>
      <c r="BN12" t="str">
        <f t="shared" si="9"/>
        <v>C1V</v>
      </c>
      <c r="BO12" t="str">
        <f t="shared" si="10"/>
        <v>HV</v>
      </c>
      <c r="BQ12">
        <v>10</v>
      </c>
      <c r="BR12">
        <v>13</v>
      </c>
      <c r="BS12">
        <v>12</v>
      </c>
      <c r="BT12">
        <v>9</v>
      </c>
      <c r="BU12">
        <v>3</v>
      </c>
      <c r="BV12">
        <v>31.206</v>
      </c>
      <c r="BW12">
        <v>-9.7680000000000007</v>
      </c>
      <c r="BX12">
        <v>-21.439</v>
      </c>
      <c r="BY12">
        <v>0</v>
      </c>
      <c r="BZ12">
        <v>0</v>
      </c>
      <c r="CA12">
        <v>0</v>
      </c>
      <c r="CB12" t="str">
        <f t="shared" si="11"/>
        <v>C1V</v>
      </c>
      <c r="CC12" t="str">
        <f t="shared" si="12"/>
        <v>O1V</v>
      </c>
      <c r="CD12" t="str">
        <f t="shared" si="13"/>
        <v>C2V</v>
      </c>
      <c r="CE12" t="str">
        <f t="shared" si="14"/>
        <v>O1V</v>
      </c>
    </row>
    <row r="13" spans="1:83" x14ac:dyDescent="0.25">
      <c r="B13">
        <v>16</v>
      </c>
      <c r="C13">
        <v>0.21</v>
      </c>
      <c r="D13">
        <v>2.96</v>
      </c>
      <c r="E13">
        <v>16</v>
      </c>
      <c r="F13">
        <v>15.999000000000001</v>
      </c>
      <c r="G13" t="s">
        <v>46</v>
      </c>
      <c r="Q13">
        <v>12</v>
      </c>
      <c r="R13">
        <v>9</v>
      </c>
      <c r="S13">
        <v>1</v>
      </c>
      <c r="T13">
        <v>0.13270000000000001</v>
      </c>
      <c r="U13">
        <v>179075.20000000001</v>
      </c>
      <c r="V13" t="str">
        <f t="shared" si="0"/>
        <v>C2V</v>
      </c>
      <c r="W13" t="str">
        <f t="shared" si="1"/>
        <v>O1V</v>
      </c>
      <c r="AG13">
        <v>6</v>
      </c>
      <c r="AH13">
        <v>10</v>
      </c>
      <c r="AI13">
        <v>13</v>
      </c>
      <c r="AJ13">
        <v>1</v>
      </c>
      <c r="AK13">
        <v>109.5</v>
      </c>
      <c r="AL13">
        <v>418.4</v>
      </c>
      <c r="AM13" t="str">
        <f t="shared" si="3"/>
        <v>C1V</v>
      </c>
      <c r="AN13" t="str">
        <f t="shared" si="4"/>
        <v>C1V</v>
      </c>
      <c r="AO13" t="str">
        <f t="shared" si="5"/>
        <v>O1V</v>
      </c>
      <c r="BA13">
        <v>10</v>
      </c>
      <c r="BB13">
        <v>13</v>
      </c>
      <c r="BC13">
        <v>12</v>
      </c>
      <c r="BD13">
        <v>9</v>
      </c>
      <c r="BE13">
        <v>3</v>
      </c>
      <c r="BF13">
        <v>31.206</v>
      </c>
      <c r="BG13">
        <v>-9.7680000000000007</v>
      </c>
      <c r="BH13">
        <v>-21.439</v>
      </c>
      <c r="BI13">
        <v>0</v>
      </c>
      <c r="BJ13">
        <v>0</v>
      </c>
      <c r="BK13">
        <v>0</v>
      </c>
      <c r="BL13" t="str">
        <f t="shared" si="7"/>
        <v>C1V</v>
      </c>
      <c r="BM13" t="str">
        <f t="shared" si="8"/>
        <v>O1V</v>
      </c>
      <c r="BN13" t="str">
        <f t="shared" si="9"/>
        <v>C2V</v>
      </c>
      <c r="BO13" t="str">
        <f t="shared" si="10"/>
        <v>O1V</v>
      </c>
    </row>
    <row r="14" spans="1:83" x14ac:dyDescent="0.25">
      <c r="B14">
        <v>2</v>
      </c>
      <c r="C14">
        <v>6.6000000000000003E-2</v>
      </c>
      <c r="D14">
        <v>3.5</v>
      </c>
      <c r="E14">
        <v>2</v>
      </c>
      <c r="F14">
        <v>12.010999999999999</v>
      </c>
      <c r="G14" t="s">
        <v>47</v>
      </c>
      <c r="Q14">
        <v>13</v>
      </c>
      <c r="R14">
        <v>10</v>
      </c>
      <c r="S14">
        <v>1</v>
      </c>
      <c r="T14">
        <v>0.14099999999999999</v>
      </c>
      <c r="U14">
        <v>267776</v>
      </c>
      <c r="V14" t="str">
        <f t="shared" si="0"/>
        <v>O1V</v>
      </c>
      <c r="W14" t="str">
        <f t="shared" si="1"/>
        <v>C1V</v>
      </c>
      <c r="AG14">
        <v>6</v>
      </c>
      <c r="AH14">
        <v>10</v>
      </c>
      <c r="AI14">
        <v>14</v>
      </c>
      <c r="AJ14">
        <v>1</v>
      </c>
      <c r="AK14">
        <v>110.7</v>
      </c>
      <c r="AL14">
        <v>313.8</v>
      </c>
      <c r="AM14" t="str">
        <f t="shared" si="3"/>
        <v>C1V</v>
      </c>
      <c r="AN14" t="str">
        <f t="shared" si="4"/>
        <v>C1V</v>
      </c>
      <c r="AO14" t="str">
        <f t="shared" si="5"/>
        <v>HV</v>
      </c>
      <c r="BA14">
        <v>15</v>
      </c>
      <c r="BB14">
        <v>10</v>
      </c>
      <c r="BC14">
        <v>6</v>
      </c>
      <c r="BD14">
        <v>3</v>
      </c>
      <c r="BE14">
        <v>3</v>
      </c>
      <c r="BF14">
        <v>0.628</v>
      </c>
      <c r="BG14">
        <v>1.883</v>
      </c>
      <c r="BH14">
        <v>0</v>
      </c>
      <c r="BI14">
        <v>-2.5099999999999998</v>
      </c>
      <c r="BJ14">
        <v>0</v>
      </c>
      <c r="BK14">
        <v>0</v>
      </c>
      <c r="BL14" t="str">
        <f t="shared" si="7"/>
        <v>HV</v>
      </c>
      <c r="BM14" t="str">
        <f t="shared" si="8"/>
        <v>C1V</v>
      </c>
      <c r="BN14" t="str">
        <f t="shared" si="9"/>
        <v>C1V</v>
      </c>
      <c r="BO14" t="str">
        <f t="shared" si="10"/>
        <v>C1V</v>
      </c>
    </row>
    <row r="15" spans="1:83" x14ac:dyDescent="0.25">
      <c r="B15">
        <v>3</v>
      </c>
      <c r="C15">
        <v>6.6000000000000003E-2</v>
      </c>
      <c r="D15">
        <v>3.5</v>
      </c>
      <c r="E15">
        <v>3</v>
      </c>
      <c r="F15">
        <v>12.010999999999999</v>
      </c>
      <c r="G15" t="s">
        <v>47</v>
      </c>
      <c r="Q15">
        <v>14</v>
      </c>
      <c r="R15">
        <v>10</v>
      </c>
      <c r="S15">
        <v>1</v>
      </c>
      <c r="T15">
        <v>0.109</v>
      </c>
      <c r="U15">
        <v>284512</v>
      </c>
      <c r="V15" t="str">
        <f t="shared" si="0"/>
        <v>HV</v>
      </c>
      <c r="W15" t="str">
        <f t="shared" si="1"/>
        <v>C1V</v>
      </c>
      <c r="AG15">
        <v>6</v>
      </c>
      <c r="AH15">
        <v>10</v>
      </c>
      <c r="AI15">
        <v>15</v>
      </c>
      <c r="AJ15">
        <v>1</v>
      </c>
      <c r="AK15">
        <v>110.7</v>
      </c>
      <c r="AL15">
        <v>313.8</v>
      </c>
      <c r="AM15" t="str">
        <f t="shared" si="3"/>
        <v>C1V</v>
      </c>
      <c r="AN15" t="str">
        <f t="shared" si="4"/>
        <v>C1V</v>
      </c>
      <c r="AO15" t="str">
        <f t="shared" si="5"/>
        <v>HV</v>
      </c>
      <c r="BA15">
        <v>11</v>
      </c>
      <c r="BB15">
        <v>6</v>
      </c>
      <c r="BC15">
        <v>3</v>
      </c>
      <c r="BD15">
        <v>2</v>
      </c>
      <c r="BE15">
        <v>3</v>
      </c>
      <c r="BF15">
        <v>0.628</v>
      </c>
      <c r="BG15">
        <v>1.883</v>
      </c>
      <c r="BH15">
        <v>0</v>
      </c>
      <c r="BI15">
        <v>-2.5099999999999998</v>
      </c>
      <c r="BJ15">
        <v>0</v>
      </c>
      <c r="BK15">
        <v>0</v>
      </c>
      <c r="BL15" t="str">
        <f t="shared" si="7"/>
        <v>HV</v>
      </c>
      <c r="BM15" t="str">
        <f t="shared" si="8"/>
        <v>C1V</v>
      </c>
      <c r="BN15" t="str">
        <f t="shared" si="9"/>
        <v>C1V</v>
      </c>
      <c r="BO15" t="str">
        <f t="shared" si="10"/>
        <v>C1V</v>
      </c>
    </row>
    <row r="16" spans="1:83" x14ac:dyDescent="0.25">
      <c r="B16">
        <v>6</v>
      </c>
      <c r="C16">
        <v>6.6000000000000003E-2</v>
      </c>
      <c r="D16">
        <v>3.5</v>
      </c>
      <c r="E16">
        <v>6</v>
      </c>
      <c r="F16">
        <v>12.010999999999999</v>
      </c>
      <c r="G16" t="s">
        <v>47</v>
      </c>
      <c r="Q16">
        <v>15</v>
      </c>
      <c r="R16">
        <v>10</v>
      </c>
      <c r="S16">
        <v>1</v>
      </c>
      <c r="T16">
        <v>0.109</v>
      </c>
      <c r="U16">
        <v>284512</v>
      </c>
      <c r="V16" t="str">
        <f t="shared" si="0"/>
        <v>HV</v>
      </c>
      <c r="W16" t="str">
        <f t="shared" si="1"/>
        <v>C1V</v>
      </c>
      <c r="AG16">
        <v>9</v>
      </c>
      <c r="AH16">
        <v>12</v>
      </c>
      <c r="AI16">
        <v>16</v>
      </c>
      <c r="AJ16">
        <v>1</v>
      </c>
      <c r="AK16">
        <v>123.4</v>
      </c>
      <c r="AL16">
        <v>694.54399999999998</v>
      </c>
      <c r="AM16" t="str">
        <f t="shared" si="3"/>
        <v>O1V</v>
      </c>
      <c r="AN16" t="str">
        <f t="shared" si="4"/>
        <v>C2V</v>
      </c>
      <c r="AO16" t="str">
        <f t="shared" si="5"/>
        <v>O2V</v>
      </c>
      <c r="BA16">
        <v>14</v>
      </c>
      <c r="BB16">
        <v>10</v>
      </c>
      <c r="BC16">
        <v>6</v>
      </c>
      <c r="BD16">
        <v>3</v>
      </c>
      <c r="BE16">
        <v>3</v>
      </c>
      <c r="BF16">
        <v>0.628</v>
      </c>
      <c r="BG16">
        <v>1.883</v>
      </c>
      <c r="BH16">
        <v>0</v>
      </c>
      <c r="BI16">
        <v>-2.5099999999999998</v>
      </c>
      <c r="BJ16">
        <v>0</v>
      </c>
      <c r="BK16">
        <v>0</v>
      </c>
      <c r="BL16" t="str">
        <f t="shared" si="7"/>
        <v>HV</v>
      </c>
      <c r="BM16" t="str">
        <f t="shared" si="8"/>
        <v>C1V</v>
      </c>
      <c r="BN16" t="str">
        <f t="shared" si="9"/>
        <v>C1V</v>
      </c>
      <c r="BO16" t="str">
        <f t="shared" si="10"/>
        <v>C1V</v>
      </c>
    </row>
    <row r="17" spans="2:67" x14ac:dyDescent="0.25">
      <c r="B17">
        <v>10</v>
      </c>
      <c r="C17">
        <v>6.6000000000000003E-2</v>
      </c>
      <c r="D17">
        <v>3.5</v>
      </c>
      <c r="E17">
        <v>10</v>
      </c>
      <c r="F17">
        <v>12.010999999999999</v>
      </c>
      <c r="G17" t="s">
        <v>47</v>
      </c>
      <c r="Q17">
        <v>16</v>
      </c>
      <c r="R17">
        <v>12</v>
      </c>
      <c r="S17">
        <v>1</v>
      </c>
      <c r="T17">
        <v>0.1229</v>
      </c>
      <c r="U17">
        <v>476976</v>
      </c>
      <c r="V17" t="str">
        <f t="shared" si="0"/>
        <v>O2V</v>
      </c>
      <c r="W17" t="str">
        <f t="shared" si="1"/>
        <v>C2V</v>
      </c>
      <c r="AG17">
        <v>9</v>
      </c>
      <c r="AH17">
        <v>12</v>
      </c>
      <c r="AI17">
        <v>13</v>
      </c>
      <c r="AJ17">
        <v>1</v>
      </c>
      <c r="AK17">
        <v>118.18</v>
      </c>
      <c r="AL17">
        <v>584.923</v>
      </c>
      <c r="AM17" t="str">
        <f t="shared" si="3"/>
        <v>O1V</v>
      </c>
      <c r="AN17" t="str">
        <f t="shared" si="4"/>
        <v>C2V</v>
      </c>
      <c r="AO17" t="str">
        <f t="shared" si="5"/>
        <v>O1V</v>
      </c>
      <c r="BA17">
        <v>14</v>
      </c>
      <c r="BB17">
        <v>10</v>
      </c>
      <c r="BC17">
        <v>6</v>
      </c>
      <c r="BD17">
        <v>11</v>
      </c>
      <c r="BE17">
        <v>3</v>
      </c>
      <c r="BF17">
        <v>0.628</v>
      </c>
      <c r="BG17">
        <v>1.883</v>
      </c>
      <c r="BH17">
        <v>0</v>
      </c>
      <c r="BI17">
        <v>-2.5099999999999998</v>
      </c>
      <c r="BJ17">
        <v>0</v>
      </c>
      <c r="BK17">
        <v>0</v>
      </c>
      <c r="BL17" t="str">
        <f t="shared" si="7"/>
        <v>HV</v>
      </c>
      <c r="BM17" t="str">
        <f t="shared" si="8"/>
        <v>C1V</v>
      </c>
      <c r="BN17" t="str">
        <f t="shared" si="9"/>
        <v>C1V</v>
      </c>
      <c r="BO17" t="str">
        <f t="shared" si="10"/>
        <v>HV</v>
      </c>
    </row>
    <row r="18" spans="2:67" x14ac:dyDescent="0.25">
      <c r="B18">
        <v>12</v>
      </c>
      <c r="C18">
        <v>7.0000000000000007E-2</v>
      </c>
      <c r="D18">
        <v>3.55</v>
      </c>
      <c r="E18">
        <v>12</v>
      </c>
      <c r="F18">
        <v>12.010999999999999</v>
      </c>
      <c r="G18" t="s">
        <v>48</v>
      </c>
      <c r="Q18">
        <v>13</v>
      </c>
      <c r="R18">
        <v>12</v>
      </c>
      <c r="S18">
        <v>1</v>
      </c>
      <c r="T18">
        <v>0.13270000000000001</v>
      </c>
      <c r="U18">
        <v>179075.20000000001</v>
      </c>
      <c r="V18" t="str">
        <f t="shared" si="0"/>
        <v>O1V</v>
      </c>
      <c r="W18" t="str">
        <f t="shared" si="1"/>
        <v>C2V</v>
      </c>
      <c r="AG18">
        <v>6</v>
      </c>
      <c r="AH18">
        <v>3</v>
      </c>
      <c r="AI18">
        <v>8</v>
      </c>
      <c r="AJ18">
        <v>1</v>
      </c>
      <c r="AK18">
        <v>110.7</v>
      </c>
      <c r="AL18">
        <v>313.8</v>
      </c>
      <c r="AM18" t="str">
        <f t="shared" si="3"/>
        <v>C1V</v>
      </c>
      <c r="AN18" t="str">
        <f t="shared" si="4"/>
        <v>C1V</v>
      </c>
      <c r="AO18" t="str">
        <f t="shared" si="5"/>
        <v>HV</v>
      </c>
      <c r="BA18">
        <v>8</v>
      </c>
      <c r="BB18">
        <v>3</v>
      </c>
      <c r="BC18">
        <v>2</v>
      </c>
      <c r="BD18">
        <v>5</v>
      </c>
      <c r="BE18">
        <v>3</v>
      </c>
      <c r="BF18">
        <v>0.628</v>
      </c>
      <c r="BG18">
        <v>1.883</v>
      </c>
      <c r="BH18">
        <v>0</v>
      </c>
      <c r="BI18">
        <v>-2.5099999999999998</v>
      </c>
      <c r="BJ18">
        <v>0</v>
      </c>
      <c r="BK18">
        <v>0</v>
      </c>
      <c r="BL18" t="str">
        <f t="shared" si="7"/>
        <v>HV</v>
      </c>
      <c r="BM18" t="str">
        <f t="shared" si="8"/>
        <v>C1V</v>
      </c>
      <c r="BN18" t="str">
        <f t="shared" si="9"/>
        <v>C1V</v>
      </c>
      <c r="BO18" t="str">
        <f t="shared" si="10"/>
        <v>HV</v>
      </c>
    </row>
    <row r="19" spans="2:67" x14ac:dyDescent="0.25">
      <c r="AG19">
        <v>13</v>
      </c>
      <c r="AH19">
        <v>10</v>
      </c>
      <c r="AI19">
        <v>14</v>
      </c>
      <c r="AJ19">
        <v>1</v>
      </c>
      <c r="AK19">
        <v>109.5</v>
      </c>
      <c r="AL19">
        <v>292.88</v>
      </c>
      <c r="AM19" t="str">
        <f t="shared" si="3"/>
        <v>O1V</v>
      </c>
      <c r="AN19" t="str">
        <f t="shared" si="4"/>
        <v>C1V</v>
      </c>
      <c r="AO19" t="str">
        <f t="shared" si="5"/>
        <v>HV</v>
      </c>
      <c r="BA19">
        <v>7</v>
      </c>
      <c r="BB19">
        <v>3</v>
      </c>
      <c r="BC19">
        <v>2</v>
      </c>
      <c r="BD19">
        <v>1</v>
      </c>
      <c r="BE19">
        <v>3</v>
      </c>
      <c r="BF19">
        <v>0.628</v>
      </c>
      <c r="BG19">
        <v>1.883</v>
      </c>
      <c r="BH19">
        <v>0</v>
      </c>
      <c r="BI19">
        <v>-2.5099999999999998</v>
      </c>
      <c r="BJ19">
        <v>0</v>
      </c>
      <c r="BK19">
        <v>0</v>
      </c>
      <c r="BL19" t="str">
        <f t="shared" si="7"/>
        <v>HV</v>
      </c>
      <c r="BM19" t="str">
        <f t="shared" si="8"/>
        <v>C1V</v>
      </c>
      <c r="BN19" t="str">
        <f t="shared" si="9"/>
        <v>C1V</v>
      </c>
      <c r="BO19" t="str">
        <f t="shared" si="10"/>
        <v>HV</v>
      </c>
    </row>
    <row r="20" spans="2:67" x14ac:dyDescent="0.25">
      <c r="AG20">
        <v>10</v>
      </c>
      <c r="AH20">
        <v>6</v>
      </c>
      <c r="AI20">
        <v>11</v>
      </c>
      <c r="AJ20">
        <v>1</v>
      </c>
      <c r="AK20">
        <v>110.7</v>
      </c>
      <c r="AL20">
        <v>313.8</v>
      </c>
      <c r="AM20" t="str">
        <f t="shared" si="3"/>
        <v>C1V</v>
      </c>
      <c r="AN20" t="str">
        <f t="shared" si="4"/>
        <v>C1V</v>
      </c>
      <c r="AO20" t="str">
        <f t="shared" si="5"/>
        <v>HV</v>
      </c>
      <c r="BA20">
        <v>15</v>
      </c>
      <c r="BB20">
        <v>10</v>
      </c>
      <c r="BC20">
        <v>6</v>
      </c>
      <c r="BD20">
        <v>11</v>
      </c>
      <c r="BE20">
        <v>3</v>
      </c>
      <c r="BF20">
        <v>0.628</v>
      </c>
      <c r="BG20">
        <v>1.883</v>
      </c>
      <c r="BH20">
        <v>0</v>
      </c>
      <c r="BI20">
        <v>-2.5099999999999998</v>
      </c>
      <c r="BJ20">
        <v>0</v>
      </c>
      <c r="BK20">
        <v>0</v>
      </c>
      <c r="BL20" t="str">
        <f t="shared" si="7"/>
        <v>HV</v>
      </c>
      <c r="BM20" t="str">
        <f t="shared" si="8"/>
        <v>C1V</v>
      </c>
      <c r="BN20" t="str">
        <f t="shared" si="9"/>
        <v>C1V</v>
      </c>
      <c r="BO20" t="str">
        <f t="shared" si="10"/>
        <v>HV</v>
      </c>
    </row>
    <row r="21" spans="2:67" x14ac:dyDescent="0.25">
      <c r="AG21">
        <v>7</v>
      </c>
      <c r="AH21">
        <v>3</v>
      </c>
      <c r="AI21">
        <v>8</v>
      </c>
      <c r="AJ21">
        <v>1</v>
      </c>
      <c r="AK21">
        <v>107.8</v>
      </c>
      <c r="AL21">
        <v>276.14400000000001</v>
      </c>
      <c r="AM21" t="str">
        <f t="shared" si="3"/>
        <v>HV</v>
      </c>
      <c r="AN21" t="str">
        <f t="shared" si="4"/>
        <v>C1V</v>
      </c>
      <c r="AO21" t="str">
        <f t="shared" si="5"/>
        <v>HV</v>
      </c>
      <c r="BA21">
        <v>8</v>
      </c>
      <c r="BB21">
        <v>3</v>
      </c>
      <c r="BC21">
        <v>2</v>
      </c>
      <c r="BD21">
        <v>1</v>
      </c>
      <c r="BE21">
        <v>3</v>
      </c>
      <c r="BF21">
        <v>0.628</v>
      </c>
      <c r="BG21">
        <v>1.883</v>
      </c>
      <c r="BH21">
        <v>0</v>
      </c>
      <c r="BI21">
        <v>-2.5099999999999998</v>
      </c>
      <c r="BJ21">
        <v>0</v>
      </c>
      <c r="BK21">
        <v>0</v>
      </c>
      <c r="BL21" t="str">
        <f t="shared" si="7"/>
        <v>HV</v>
      </c>
      <c r="BM21" t="str">
        <f t="shared" si="8"/>
        <v>C1V</v>
      </c>
      <c r="BN21" t="str">
        <f t="shared" si="9"/>
        <v>C1V</v>
      </c>
      <c r="BO21" t="str">
        <f t="shared" si="10"/>
        <v>HV</v>
      </c>
    </row>
    <row r="22" spans="2:67" x14ac:dyDescent="0.25">
      <c r="AG22">
        <v>13</v>
      </c>
      <c r="AH22">
        <v>12</v>
      </c>
      <c r="AI22">
        <v>16</v>
      </c>
      <c r="AJ22">
        <v>1</v>
      </c>
      <c r="AK22">
        <v>123.4</v>
      </c>
      <c r="AL22">
        <v>694.54399999999998</v>
      </c>
      <c r="AM22" t="str">
        <f t="shared" si="3"/>
        <v>O1V</v>
      </c>
      <c r="AN22" t="str">
        <f t="shared" si="4"/>
        <v>C2V</v>
      </c>
      <c r="AO22" t="str">
        <f t="shared" si="5"/>
        <v>O2V</v>
      </c>
      <c r="BA22">
        <v>7</v>
      </c>
      <c r="BB22">
        <v>3</v>
      </c>
      <c r="BC22">
        <v>2</v>
      </c>
      <c r="BD22">
        <v>5</v>
      </c>
      <c r="BE22">
        <v>3</v>
      </c>
      <c r="BF22">
        <v>0.628</v>
      </c>
      <c r="BG22">
        <v>1.883</v>
      </c>
      <c r="BH22">
        <v>0</v>
      </c>
      <c r="BI22">
        <v>-2.5099999999999998</v>
      </c>
      <c r="BJ22">
        <v>0</v>
      </c>
      <c r="BK22">
        <v>0</v>
      </c>
      <c r="BL22" t="str">
        <f t="shared" si="7"/>
        <v>HV</v>
      </c>
      <c r="BM22" t="str">
        <f t="shared" si="8"/>
        <v>C1V</v>
      </c>
      <c r="BN22" t="str">
        <f t="shared" si="9"/>
        <v>C1V</v>
      </c>
      <c r="BO22" t="str">
        <f t="shared" si="10"/>
        <v>HV</v>
      </c>
    </row>
    <row r="23" spans="2:67" x14ac:dyDescent="0.25">
      <c r="AG23">
        <v>13</v>
      </c>
      <c r="AH23">
        <v>10</v>
      </c>
      <c r="AI23">
        <v>15</v>
      </c>
      <c r="AJ23">
        <v>1</v>
      </c>
      <c r="AK23">
        <v>109.5</v>
      </c>
      <c r="AL23">
        <v>292.88</v>
      </c>
      <c r="AM23" t="str">
        <f t="shared" si="3"/>
        <v>O1V</v>
      </c>
      <c r="AN23" t="str">
        <f t="shared" si="4"/>
        <v>C1V</v>
      </c>
      <c r="AO23" t="str">
        <f t="shared" si="5"/>
        <v>HV</v>
      </c>
      <c r="BA23">
        <v>11</v>
      </c>
      <c r="BB23">
        <v>6</v>
      </c>
      <c r="BC23">
        <v>3</v>
      </c>
      <c r="BD23">
        <v>8</v>
      </c>
      <c r="BE23">
        <v>3</v>
      </c>
      <c r="BF23">
        <v>0.628</v>
      </c>
      <c r="BG23">
        <v>1.883</v>
      </c>
      <c r="BH23">
        <v>0</v>
      </c>
      <c r="BI23">
        <v>-2.5099999999999998</v>
      </c>
      <c r="BJ23">
        <v>0</v>
      </c>
      <c r="BK23">
        <v>0</v>
      </c>
      <c r="BL23" t="str">
        <f t="shared" si="7"/>
        <v>HV</v>
      </c>
      <c r="BM23" t="str">
        <f t="shared" si="8"/>
        <v>C1V</v>
      </c>
      <c r="BN23" t="str">
        <f t="shared" si="9"/>
        <v>C1V</v>
      </c>
      <c r="BO23" t="str">
        <f t="shared" si="10"/>
        <v>HV</v>
      </c>
    </row>
    <row r="24" spans="2:67" x14ac:dyDescent="0.25">
      <c r="AG24">
        <v>3</v>
      </c>
      <c r="AH24">
        <v>2</v>
      </c>
      <c r="AI24">
        <v>4</v>
      </c>
      <c r="AJ24">
        <v>1</v>
      </c>
      <c r="AK24">
        <v>110.7</v>
      </c>
      <c r="AL24">
        <v>313.8</v>
      </c>
      <c r="AM24" t="str">
        <f t="shared" si="3"/>
        <v>C1V</v>
      </c>
      <c r="AN24" t="str">
        <f t="shared" si="4"/>
        <v>C1V</v>
      </c>
      <c r="AO24" t="str">
        <f t="shared" si="5"/>
        <v>HV</v>
      </c>
      <c r="BA24">
        <v>8</v>
      </c>
      <c r="BB24">
        <v>3</v>
      </c>
      <c r="BC24">
        <v>2</v>
      </c>
      <c r="BD24">
        <v>4</v>
      </c>
      <c r="BE24">
        <v>3</v>
      </c>
      <c r="BF24">
        <v>0.628</v>
      </c>
      <c r="BG24">
        <v>1.883</v>
      </c>
      <c r="BH24">
        <v>0</v>
      </c>
      <c r="BI24">
        <v>-2.5099999999999998</v>
      </c>
      <c r="BJ24">
        <v>0</v>
      </c>
      <c r="BK24">
        <v>0</v>
      </c>
      <c r="BL24" t="str">
        <f t="shared" si="7"/>
        <v>HV</v>
      </c>
      <c r="BM24" t="str">
        <f t="shared" si="8"/>
        <v>C1V</v>
      </c>
      <c r="BN24" t="str">
        <f t="shared" si="9"/>
        <v>C1V</v>
      </c>
      <c r="BO24" t="str">
        <f t="shared" si="10"/>
        <v>HV</v>
      </c>
    </row>
    <row r="25" spans="2:67" x14ac:dyDescent="0.25">
      <c r="AG25">
        <v>3</v>
      </c>
      <c r="AH25">
        <v>2</v>
      </c>
      <c r="AI25">
        <v>5</v>
      </c>
      <c r="AJ25">
        <v>1</v>
      </c>
      <c r="AK25">
        <v>110.7</v>
      </c>
      <c r="AL25">
        <v>313.8</v>
      </c>
      <c r="AM25" t="str">
        <f t="shared" si="3"/>
        <v>C1V</v>
      </c>
      <c r="AN25" t="str">
        <f t="shared" si="4"/>
        <v>C1V</v>
      </c>
      <c r="AO25" t="str">
        <f t="shared" si="5"/>
        <v>HV</v>
      </c>
      <c r="BA25">
        <v>11</v>
      </c>
      <c r="BB25">
        <v>6</v>
      </c>
      <c r="BC25">
        <v>3</v>
      </c>
      <c r="BD25">
        <v>7</v>
      </c>
      <c r="BE25">
        <v>3</v>
      </c>
      <c r="BF25">
        <v>0.628</v>
      </c>
      <c r="BG25">
        <v>1.883</v>
      </c>
      <c r="BH25">
        <v>0</v>
      </c>
      <c r="BI25">
        <v>-2.5099999999999998</v>
      </c>
      <c r="BJ25">
        <v>0</v>
      </c>
      <c r="BK25">
        <v>0</v>
      </c>
      <c r="BL25" t="str">
        <f t="shared" si="7"/>
        <v>HV</v>
      </c>
      <c r="BM25" t="str">
        <f t="shared" si="8"/>
        <v>C1V</v>
      </c>
      <c r="BN25" t="str">
        <f t="shared" si="9"/>
        <v>C1V</v>
      </c>
      <c r="BO25" t="str">
        <f t="shared" si="10"/>
        <v>HV</v>
      </c>
    </row>
    <row r="26" spans="2:67" x14ac:dyDescent="0.25">
      <c r="AG26">
        <v>9</v>
      </c>
      <c r="AH26">
        <v>6</v>
      </c>
      <c r="AI26">
        <v>10</v>
      </c>
      <c r="AJ26">
        <v>1</v>
      </c>
      <c r="AK26">
        <v>109.5</v>
      </c>
      <c r="AL26">
        <v>418.4</v>
      </c>
      <c r="AM26" t="str">
        <f t="shared" si="3"/>
        <v>O1V</v>
      </c>
      <c r="AN26" t="str">
        <f t="shared" si="4"/>
        <v>C1V</v>
      </c>
      <c r="AO26" t="str">
        <f t="shared" si="5"/>
        <v>C1V</v>
      </c>
      <c r="BA26">
        <v>7</v>
      </c>
      <c r="BB26">
        <v>3</v>
      </c>
      <c r="BC26">
        <v>2</v>
      </c>
      <c r="BD26">
        <v>4</v>
      </c>
      <c r="BE26">
        <v>3</v>
      </c>
      <c r="BF26">
        <v>0.628</v>
      </c>
      <c r="BG26">
        <v>1.883</v>
      </c>
      <c r="BH26">
        <v>0</v>
      </c>
      <c r="BI26">
        <v>-2.5099999999999998</v>
      </c>
      <c r="BJ26">
        <v>0</v>
      </c>
      <c r="BK26">
        <v>0</v>
      </c>
      <c r="BL26" t="str">
        <f t="shared" si="7"/>
        <v>HV</v>
      </c>
      <c r="BM26" t="str">
        <f t="shared" si="8"/>
        <v>C1V</v>
      </c>
      <c r="BN26" t="str">
        <f t="shared" si="9"/>
        <v>C1V</v>
      </c>
      <c r="BO26" t="str">
        <f t="shared" si="10"/>
        <v>HV</v>
      </c>
    </row>
    <row r="27" spans="2:67" x14ac:dyDescent="0.25">
      <c r="AG27">
        <v>10</v>
      </c>
      <c r="AH27">
        <v>13</v>
      </c>
      <c r="AI27">
        <v>12</v>
      </c>
      <c r="AJ27">
        <v>1</v>
      </c>
      <c r="AK27">
        <v>116.9</v>
      </c>
      <c r="AL27">
        <v>694.54399999999998</v>
      </c>
      <c r="AM27" t="str">
        <f t="shared" si="3"/>
        <v>C1V</v>
      </c>
      <c r="AN27" t="str">
        <f t="shared" si="4"/>
        <v>O1V</v>
      </c>
      <c r="AO27" t="str">
        <f t="shared" si="5"/>
        <v>C2V</v>
      </c>
      <c r="BA27">
        <v>14</v>
      </c>
      <c r="BB27">
        <v>10</v>
      </c>
      <c r="BC27">
        <v>6</v>
      </c>
      <c r="BD27">
        <v>9</v>
      </c>
      <c r="BE27">
        <v>3</v>
      </c>
      <c r="BF27">
        <v>0.97899999999999998</v>
      </c>
      <c r="BG27">
        <v>2.9369999999999998</v>
      </c>
      <c r="BH27">
        <v>0</v>
      </c>
      <c r="BI27">
        <v>-3.9159999999999999</v>
      </c>
      <c r="BJ27">
        <v>0</v>
      </c>
      <c r="BK27">
        <v>0</v>
      </c>
      <c r="BL27" t="str">
        <f t="shared" si="7"/>
        <v>HV</v>
      </c>
      <c r="BM27" t="str">
        <f t="shared" si="8"/>
        <v>C1V</v>
      </c>
      <c r="BN27" t="str">
        <f t="shared" si="9"/>
        <v>C1V</v>
      </c>
      <c r="BO27" t="str">
        <f t="shared" si="10"/>
        <v>O1V</v>
      </c>
    </row>
    <row r="28" spans="2:67" x14ac:dyDescent="0.25">
      <c r="AG28">
        <v>4</v>
      </c>
      <c r="AH28">
        <v>2</v>
      </c>
      <c r="AI28">
        <v>5</v>
      </c>
      <c r="AJ28">
        <v>1</v>
      </c>
      <c r="AK28">
        <v>107.8</v>
      </c>
      <c r="AL28">
        <v>276.14400000000001</v>
      </c>
      <c r="AM28" t="str">
        <f t="shared" si="3"/>
        <v>HV</v>
      </c>
      <c r="AN28" t="str">
        <f t="shared" si="4"/>
        <v>C1V</v>
      </c>
      <c r="AO28" t="str">
        <f t="shared" si="5"/>
        <v>HV</v>
      </c>
      <c r="BA28">
        <v>15</v>
      </c>
      <c r="BB28">
        <v>10</v>
      </c>
      <c r="BC28">
        <v>6</v>
      </c>
      <c r="BD28">
        <v>9</v>
      </c>
      <c r="BE28">
        <v>3</v>
      </c>
      <c r="BF28">
        <v>0.97899999999999998</v>
      </c>
      <c r="BG28">
        <v>2.9369999999999998</v>
      </c>
      <c r="BH28">
        <v>0</v>
      </c>
      <c r="BI28">
        <v>-3.9159999999999999</v>
      </c>
      <c r="BJ28">
        <v>0</v>
      </c>
      <c r="BK28">
        <v>0</v>
      </c>
      <c r="BL28" t="str">
        <f t="shared" si="7"/>
        <v>HV</v>
      </c>
      <c r="BM28" t="str">
        <f t="shared" si="8"/>
        <v>C1V</v>
      </c>
      <c r="BN28" t="str">
        <f t="shared" si="9"/>
        <v>C1V</v>
      </c>
      <c r="BO28" t="str">
        <f t="shared" si="10"/>
        <v>O1V</v>
      </c>
    </row>
    <row r="29" spans="2:67" x14ac:dyDescent="0.25">
      <c r="AG29">
        <v>9</v>
      </c>
      <c r="AH29">
        <v>6</v>
      </c>
      <c r="AI29">
        <v>11</v>
      </c>
      <c r="AJ29">
        <v>1</v>
      </c>
      <c r="AK29">
        <v>109.5</v>
      </c>
      <c r="AL29">
        <v>292.88</v>
      </c>
      <c r="AM29" t="str">
        <f t="shared" si="3"/>
        <v>O1V</v>
      </c>
      <c r="AN29" t="str">
        <f t="shared" si="4"/>
        <v>C1V</v>
      </c>
      <c r="AO29" t="str">
        <f t="shared" si="5"/>
        <v>HV</v>
      </c>
      <c r="BA29">
        <v>15</v>
      </c>
      <c r="BB29">
        <v>10</v>
      </c>
      <c r="BC29">
        <v>13</v>
      </c>
      <c r="BD29">
        <v>12</v>
      </c>
      <c r="BE29">
        <v>3</v>
      </c>
      <c r="BF29">
        <v>0.41399999999999998</v>
      </c>
      <c r="BG29">
        <v>1.2430000000000001</v>
      </c>
      <c r="BH29">
        <v>0</v>
      </c>
      <c r="BI29">
        <v>-1.657</v>
      </c>
      <c r="BJ29">
        <v>0</v>
      </c>
      <c r="BK29">
        <v>0</v>
      </c>
      <c r="BL29" t="str">
        <f t="shared" si="7"/>
        <v>HV</v>
      </c>
      <c r="BM29" t="str">
        <f t="shared" si="8"/>
        <v>C1V</v>
      </c>
      <c r="BN29" t="str">
        <f t="shared" si="9"/>
        <v>O1V</v>
      </c>
      <c r="BO29" t="str">
        <f t="shared" si="10"/>
        <v>C2V</v>
      </c>
    </row>
    <row r="30" spans="2:67" x14ac:dyDescent="0.25">
      <c r="AG30">
        <v>6</v>
      </c>
      <c r="AH30">
        <v>3</v>
      </c>
      <c r="AI30">
        <v>7</v>
      </c>
      <c r="AJ30">
        <v>1</v>
      </c>
      <c r="AK30">
        <v>110.7</v>
      </c>
      <c r="AL30">
        <v>313.8</v>
      </c>
      <c r="AM30" t="str">
        <f t="shared" si="3"/>
        <v>C1V</v>
      </c>
      <c r="AN30" t="str">
        <f t="shared" si="4"/>
        <v>C1V</v>
      </c>
      <c r="AO30" t="str">
        <f t="shared" si="5"/>
        <v>HV</v>
      </c>
      <c r="BA30">
        <v>14</v>
      </c>
      <c r="BB30">
        <v>10</v>
      </c>
      <c r="BC30">
        <v>13</v>
      </c>
      <c r="BD30">
        <v>12</v>
      </c>
      <c r="BE30">
        <v>3</v>
      </c>
      <c r="BF30">
        <v>0.41399999999999998</v>
      </c>
      <c r="BG30">
        <v>1.2430000000000001</v>
      </c>
      <c r="BH30">
        <v>0</v>
      </c>
      <c r="BI30">
        <v>-1.657</v>
      </c>
      <c r="BJ30">
        <v>0</v>
      </c>
      <c r="BK30">
        <v>0</v>
      </c>
      <c r="BL30" t="str">
        <f t="shared" si="7"/>
        <v>HV</v>
      </c>
      <c r="BM30" t="str">
        <f t="shared" si="8"/>
        <v>C1V</v>
      </c>
      <c r="BN30" t="str">
        <f t="shared" si="9"/>
        <v>O1V</v>
      </c>
      <c r="BO30" t="str">
        <f t="shared" si="10"/>
        <v>C2V</v>
      </c>
    </row>
    <row r="31" spans="2:67" x14ac:dyDescent="0.25">
      <c r="AG31">
        <v>14</v>
      </c>
      <c r="AH31">
        <v>10</v>
      </c>
      <c r="AI31">
        <v>15</v>
      </c>
      <c r="AJ31">
        <v>1</v>
      </c>
      <c r="AK31">
        <v>107.8</v>
      </c>
      <c r="AL31">
        <v>276.14400000000001</v>
      </c>
      <c r="AM31" t="str">
        <f t="shared" si="3"/>
        <v>HV</v>
      </c>
      <c r="AN31" t="str">
        <f t="shared" si="4"/>
        <v>C1V</v>
      </c>
      <c r="AO31" t="str">
        <f t="shared" si="5"/>
        <v>HV</v>
      </c>
      <c r="BA31">
        <v>16</v>
      </c>
      <c r="BB31">
        <v>12</v>
      </c>
      <c r="BC31">
        <v>13</v>
      </c>
      <c r="BD31">
        <v>10</v>
      </c>
      <c r="BE31">
        <v>3</v>
      </c>
      <c r="BF31">
        <v>21.439</v>
      </c>
      <c r="BG31">
        <v>0</v>
      </c>
      <c r="BH31">
        <v>-21.439</v>
      </c>
      <c r="BI31">
        <v>0</v>
      </c>
      <c r="BJ31">
        <v>0</v>
      </c>
      <c r="BK31">
        <v>0</v>
      </c>
      <c r="BL31" t="str">
        <f t="shared" si="7"/>
        <v>O2V</v>
      </c>
      <c r="BM31" t="str">
        <f t="shared" si="8"/>
        <v>C2V</v>
      </c>
      <c r="BN31" t="str">
        <f t="shared" si="9"/>
        <v>O1V</v>
      </c>
      <c r="BO31" t="str">
        <f t="shared" si="10"/>
        <v>C1V</v>
      </c>
    </row>
    <row r="32" spans="2:67" x14ac:dyDescent="0.25">
      <c r="BA32">
        <v>16</v>
      </c>
      <c r="BB32">
        <v>12</v>
      </c>
      <c r="BC32">
        <v>9</v>
      </c>
      <c r="BD32">
        <v>6</v>
      </c>
      <c r="BE32">
        <v>3</v>
      </c>
      <c r="BF32">
        <v>21.439</v>
      </c>
      <c r="BG32">
        <v>0</v>
      </c>
      <c r="BH32">
        <v>-21.439</v>
      </c>
      <c r="BI32">
        <v>0</v>
      </c>
      <c r="BJ32">
        <v>0</v>
      </c>
      <c r="BK32">
        <v>0</v>
      </c>
      <c r="BL32" t="str">
        <f t="shared" si="7"/>
        <v>O2V</v>
      </c>
      <c r="BM32" t="str">
        <f t="shared" si="8"/>
        <v>C2V</v>
      </c>
      <c r="BN32" t="str">
        <f t="shared" si="9"/>
        <v>O1V</v>
      </c>
      <c r="BO32" t="str">
        <f t="shared" si="10"/>
        <v>C1V</v>
      </c>
    </row>
    <row r="33" spans="53:67" x14ac:dyDescent="0.25">
      <c r="BA33">
        <v>13</v>
      </c>
      <c r="BB33">
        <v>12</v>
      </c>
      <c r="BC33">
        <v>9</v>
      </c>
      <c r="BD33">
        <v>6</v>
      </c>
      <c r="BE33">
        <v>3</v>
      </c>
      <c r="BF33">
        <v>31.206</v>
      </c>
      <c r="BG33">
        <v>-9.7680000000000007</v>
      </c>
      <c r="BH33">
        <v>-21.439</v>
      </c>
      <c r="BI33">
        <v>0</v>
      </c>
      <c r="BJ33">
        <v>0</v>
      </c>
      <c r="BK33">
        <v>0</v>
      </c>
      <c r="BL33" t="str">
        <f t="shared" si="7"/>
        <v>O1V</v>
      </c>
      <c r="BM33" t="str">
        <f t="shared" si="8"/>
        <v>C2V</v>
      </c>
      <c r="BN33" t="str">
        <f t="shared" si="9"/>
        <v>O1V</v>
      </c>
      <c r="BO33" t="str">
        <f t="shared" si="10"/>
        <v>C1V</v>
      </c>
    </row>
    <row r="34" spans="53:67" x14ac:dyDescent="0.25">
      <c r="BA34">
        <v>13</v>
      </c>
      <c r="BB34">
        <v>10</v>
      </c>
      <c r="BC34">
        <v>6</v>
      </c>
      <c r="BD34">
        <v>3</v>
      </c>
      <c r="BE34">
        <v>3</v>
      </c>
      <c r="BF34">
        <v>2.8740000000000001</v>
      </c>
      <c r="BG34">
        <v>0.58199999999999996</v>
      </c>
      <c r="BH34">
        <v>2.0920000000000001</v>
      </c>
      <c r="BI34">
        <v>-5.548</v>
      </c>
      <c r="BJ34">
        <v>0</v>
      </c>
      <c r="BK34">
        <v>0</v>
      </c>
      <c r="BL34" t="str">
        <f t="shared" si="7"/>
        <v>O1V</v>
      </c>
      <c r="BM34" t="str">
        <f t="shared" si="8"/>
        <v>C1V</v>
      </c>
      <c r="BN34" t="str">
        <f t="shared" si="9"/>
        <v>C1V</v>
      </c>
      <c r="BO34" t="str">
        <f t="shared" si="10"/>
        <v>C1V</v>
      </c>
    </row>
    <row r="35" spans="53:67" x14ac:dyDescent="0.25">
      <c r="BA35">
        <v>9</v>
      </c>
      <c r="BB35">
        <v>6</v>
      </c>
      <c r="BC35">
        <v>3</v>
      </c>
      <c r="BD35">
        <v>2</v>
      </c>
      <c r="BE35">
        <v>3</v>
      </c>
      <c r="BF35">
        <v>2.8740000000000001</v>
      </c>
      <c r="BG35">
        <v>0.58199999999999996</v>
      </c>
      <c r="BH35">
        <v>2.0920000000000001</v>
      </c>
      <c r="BI35">
        <v>-5.548</v>
      </c>
      <c r="BJ35">
        <v>0</v>
      </c>
      <c r="BK35">
        <v>0</v>
      </c>
      <c r="BL35" t="str">
        <f t="shared" si="7"/>
        <v>O1V</v>
      </c>
      <c r="BM35" t="str">
        <f t="shared" si="8"/>
        <v>C1V</v>
      </c>
      <c r="BN35" t="str">
        <f t="shared" si="9"/>
        <v>C1V</v>
      </c>
      <c r="BO35" t="str">
        <f t="shared" si="10"/>
        <v>C1V</v>
      </c>
    </row>
    <row r="36" spans="53:67" x14ac:dyDescent="0.25">
      <c r="BA36">
        <v>9</v>
      </c>
      <c r="BB36">
        <v>6</v>
      </c>
      <c r="BC36">
        <v>3</v>
      </c>
      <c r="BD36">
        <v>8</v>
      </c>
      <c r="BE36">
        <v>3</v>
      </c>
      <c r="BF36">
        <v>0.97899999999999998</v>
      </c>
      <c r="BG36">
        <v>2.9369999999999998</v>
      </c>
      <c r="BH36">
        <v>0</v>
      </c>
      <c r="BI36">
        <v>-3.9159999999999999</v>
      </c>
      <c r="BJ36">
        <v>0</v>
      </c>
      <c r="BK36">
        <v>0</v>
      </c>
      <c r="BL36" t="str">
        <f t="shared" si="7"/>
        <v>O1V</v>
      </c>
      <c r="BM36" t="str">
        <f t="shared" si="8"/>
        <v>C1V</v>
      </c>
      <c r="BN36" t="str">
        <f t="shared" si="9"/>
        <v>C1V</v>
      </c>
      <c r="BO36" t="str">
        <f t="shared" si="10"/>
        <v>HV</v>
      </c>
    </row>
    <row r="37" spans="53:67" x14ac:dyDescent="0.25">
      <c r="BA37">
        <v>13</v>
      </c>
      <c r="BB37">
        <v>10</v>
      </c>
      <c r="BC37">
        <v>6</v>
      </c>
      <c r="BD37">
        <v>11</v>
      </c>
      <c r="BE37">
        <v>3</v>
      </c>
      <c r="BF37">
        <v>0.97899999999999998</v>
      </c>
      <c r="BG37">
        <v>2.9369999999999998</v>
      </c>
      <c r="BH37">
        <v>0</v>
      </c>
      <c r="BI37">
        <v>-3.9159999999999999</v>
      </c>
      <c r="BJ37">
        <v>0</v>
      </c>
      <c r="BK37">
        <v>0</v>
      </c>
      <c r="BL37" t="str">
        <f t="shared" si="7"/>
        <v>O1V</v>
      </c>
      <c r="BM37" t="str">
        <f t="shared" si="8"/>
        <v>C1V</v>
      </c>
      <c r="BN37" t="str">
        <f t="shared" si="9"/>
        <v>C1V</v>
      </c>
      <c r="BO37" t="str">
        <f t="shared" si="10"/>
        <v>HV</v>
      </c>
    </row>
    <row r="38" spans="53:67" x14ac:dyDescent="0.25">
      <c r="BA38">
        <v>9</v>
      </c>
      <c r="BB38">
        <v>6</v>
      </c>
      <c r="BC38">
        <v>3</v>
      </c>
      <c r="BD38">
        <v>7</v>
      </c>
      <c r="BE38">
        <v>3</v>
      </c>
      <c r="BF38">
        <v>0.97899999999999998</v>
      </c>
      <c r="BG38">
        <v>2.9369999999999998</v>
      </c>
      <c r="BH38">
        <v>0</v>
      </c>
      <c r="BI38">
        <v>-3.9159999999999999</v>
      </c>
      <c r="BJ38">
        <v>0</v>
      </c>
      <c r="BK38">
        <v>0</v>
      </c>
      <c r="BL38" t="str">
        <f t="shared" si="7"/>
        <v>O1V</v>
      </c>
      <c r="BM38" t="str">
        <f t="shared" si="8"/>
        <v>C1V</v>
      </c>
      <c r="BN38" t="str">
        <f t="shared" si="9"/>
        <v>C1V</v>
      </c>
      <c r="BO38" t="str">
        <f t="shared" si="10"/>
        <v>HV</v>
      </c>
    </row>
    <row r="39" spans="53:67" x14ac:dyDescent="0.25">
      <c r="BA39">
        <v>13</v>
      </c>
      <c r="BB39">
        <v>10</v>
      </c>
      <c r="BC39">
        <v>6</v>
      </c>
      <c r="BD39">
        <v>9</v>
      </c>
      <c r="BE39">
        <v>3</v>
      </c>
      <c r="BF39">
        <v>-1.151</v>
      </c>
      <c r="BG39">
        <v>1.151</v>
      </c>
      <c r="BH39">
        <v>0</v>
      </c>
      <c r="BI39">
        <v>0</v>
      </c>
      <c r="BJ39">
        <v>0</v>
      </c>
      <c r="BK39">
        <v>0</v>
      </c>
      <c r="BL39" t="str">
        <f t="shared" si="7"/>
        <v>O1V</v>
      </c>
      <c r="BM39" t="str">
        <f t="shared" si="8"/>
        <v>C1V</v>
      </c>
      <c r="BN39" t="str">
        <f t="shared" si="9"/>
        <v>C1V</v>
      </c>
      <c r="BO39" t="str">
        <f t="shared" si="10"/>
        <v>O1V</v>
      </c>
    </row>
    <row r="53" spans="1:39" ht="75" x14ac:dyDescent="0.25">
      <c r="A53" t="s">
        <v>93</v>
      </c>
      <c r="B53" s="1" t="s">
        <v>27</v>
      </c>
      <c r="C53" s="1" t="s">
        <v>30</v>
      </c>
      <c r="D53" s="1"/>
      <c r="E53" s="1"/>
      <c r="F53" s="1"/>
      <c r="G53" s="1" t="s">
        <v>25</v>
      </c>
      <c r="I53" s="1" t="s">
        <v>24</v>
      </c>
      <c r="J53" s="1" t="s">
        <v>30</v>
      </c>
      <c r="K53" s="1"/>
      <c r="L53" s="1"/>
      <c r="M53" s="1"/>
      <c r="Q53" s="1"/>
      <c r="R53" s="1"/>
      <c r="S53" s="1"/>
      <c r="T53" s="1"/>
      <c r="U53" s="1"/>
      <c r="V53" s="1"/>
      <c r="W53" s="1"/>
      <c r="Z53" s="1"/>
    </row>
    <row r="54" spans="1:39" x14ac:dyDescent="0.25">
      <c r="B54" t="s">
        <v>19</v>
      </c>
      <c r="C54" t="s">
        <v>21</v>
      </c>
      <c r="D54" t="s">
        <v>22</v>
      </c>
      <c r="E54" t="s">
        <v>19</v>
      </c>
      <c r="F54" t="s">
        <v>18</v>
      </c>
      <c r="G54" t="s">
        <v>17</v>
      </c>
      <c r="I54" t="s">
        <v>19</v>
      </c>
      <c r="J54" t="s">
        <v>21</v>
      </c>
      <c r="K54" t="s">
        <v>22</v>
      </c>
      <c r="L54" t="s">
        <v>19</v>
      </c>
      <c r="M54" t="s">
        <v>18</v>
      </c>
      <c r="N54" t="s">
        <v>94</v>
      </c>
      <c r="P54" t="s">
        <v>68</v>
      </c>
      <c r="Q54">
        <v>1</v>
      </c>
      <c r="R54" t="s">
        <v>52</v>
      </c>
      <c r="S54" t="s">
        <v>52</v>
      </c>
      <c r="AJ54" t="s">
        <v>68</v>
      </c>
      <c r="AK54">
        <v>1</v>
      </c>
      <c r="AL54" t="s">
        <v>52</v>
      </c>
      <c r="AM54" t="s">
        <v>52</v>
      </c>
    </row>
    <row r="55" spans="1:39" x14ac:dyDescent="0.25">
      <c r="B55">
        <v>1</v>
      </c>
      <c r="C55">
        <v>0.03</v>
      </c>
      <c r="D55">
        <v>2.5</v>
      </c>
      <c r="E55">
        <v>1</v>
      </c>
      <c r="F55">
        <v>1.008</v>
      </c>
      <c r="G55" t="s">
        <v>44</v>
      </c>
      <c r="I55">
        <v>1</v>
      </c>
      <c r="J55">
        <v>0.03</v>
      </c>
      <c r="K55">
        <v>2.5</v>
      </c>
      <c r="L55">
        <v>1</v>
      </c>
      <c r="M55">
        <v>1.008</v>
      </c>
      <c r="N55" t="str">
        <f>_xlfn.XLOOKUP(I55,$B$55:$B$70,$G$55:$G$70)</f>
        <v>HV</v>
      </c>
      <c r="P55" t="s">
        <v>68</v>
      </c>
      <c r="Q55">
        <v>2</v>
      </c>
      <c r="R55" t="s">
        <v>52</v>
      </c>
      <c r="S55" t="s">
        <v>47</v>
      </c>
      <c r="AJ55" t="s">
        <v>68</v>
      </c>
      <c r="AK55">
        <v>2</v>
      </c>
      <c r="AL55" t="s">
        <v>52</v>
      </c>
      <c r="AM55" t="s">
        <v>47</v>
      </c>
    </row>
    <row r="56" spans="1:39" x14ac:dyDescent="0.25">
      <c r="B56">
        <v>4</v>
      </c>
      <c r="C56">
        <v>0.03</v>
      </c>
      <c r="D56">
        <v>2.5</v>
      </c>
      <c r="E56">
        <v>4</v>
      </c>
      <c r="F56">
        <v>1.008</v>
      </c>
      <c r="G56" t="s">
        <v>44</v>
      </c>
      <c r="I56">
        <v>2</v>
      </c>
      <c r="J56">
        <v>6.6000000000000003E-2</v>
      </c>
      <c r="K56">
        <v>3.5</v>
      </c>
      <c r="L56">
        <v>2</v>
      </c>
      <c r="M56">
        <v>12.010999999999999</v>
      </c>
      <c r="N56" t="str">
        <f t="shared" ref="N56:N59" si="15">_xlfn.XLOOKUP(I56,$B$55:$B$70,$G$55:$G$70)</f>
        <v>C1V</v>
      </c>
      <c r="P56" t="s">
        <v>68</v>
      </c>
      <c r="Q56">
        <v>3</v>
      </c>
      <c r="R56" t="s">
        <v>52</v>
      </c>
      <c r="S56" t="s">
        <v>53</v>
      </c>
      <c r="AJ56" t="s">
        <v>68</v>
      </c>
      <c r="AK56">
        <v>3</v>
      </c>
      <c r="AL56" t="s">
        <v>52</v>
      </c>
      <c r="AM56" t="s">
        <v>53</v>
      </c>
    </row>
    <row r="57" spans="1:39" x14ac:dyDescent="0.25">
      <c r="B57">
        <v>5</v>
      </c>
      <c r="C57">
        <v>0.03</v>
      </c>
      <c r="D57">
        <v>2.5</v>
      </c>
      <c r="E57">
        <v>5</v>
      </c>
      <c r="F57">
        <v>1.008</v>
      </c>
      <c r="G57" t="s">
        <v>44</v>
      </c>
      <c r="I57">
        <v>9</v>
      </c>
      <c r="J57">
        <v>0.14000000000000001</v>
      </c>
      <c r="K57">
        <v>2.9</v>
      </c>
      <c r="L57">
        <v>9</v>
      </c>
      <c r="M57">
        <v>15.999000000000001</v>
      </c>
      <c r="N57" t="str">
        <f t="shared" si="15"/>
        <v>O1V</v>
      </c>
      <c r="P57" t="s">
        <v>68</v>
      </c>
      <c r="Q57">
        <v>4</v>
      </c>
      <c r="R57" t="s">
        <v>52</v>
      </c>
      <c r="S57" t="s">
        <v>50</v>
      </c>
      <c r="AJ57" t="s">
        <v>68</v>
      </c>
      <c r="AK57">
        <v>4</v>
      </c>
      <c r="AL57" t="s">
        <v>52</v>
      </c>
      <c r="AM57" t="s">
        <v>50</v>
      </c>
    </row>
    <row r="58" spans="1:39" x14ac:dyDescent="0.25">
      <c r="B58">
        <v>7</v>
      </c>
      <c r="C58">
        <v>0.03</v>
      </c>
      <c r="D58">
        <v>2.5</v>
      </c>
      <c r="E58">
        <v>7</v>
      </c>
      <c r="F58">
        <v>1.008</v>
      </c>
      <c r="G58" t="s">
        <v>44</v>
      </c>
      <c r="I58">
        <v>12</v>
      </c>
      <c r="J58">
        <v>7.0000000000000007E-2</v>
      </c>
      <c r="K58">
        <v>3.55</v>
      </c>
      <c r="L58">
        <v>12</v>
      </c>
      <c r="M58">
        <v>12.010999999999999</v>
      </c>
      <c r="N58" t="str">
        <f t="shared" si="15"/>
        <v>C2V</v>
      </c>
      <c r="P58" t="s">
        <v>68</v>
      </c>
      <c r="Q58">
        <v>5</v>
      </c>
      <c r="R58" t="s">
        <v>52</v>
      </c>
      <c r="S58" t="s">
        <v>49</v>
      </c>
      <c r="AJ58" t="s">
        <v>68</v>
      </c>
      <c r="AK58">
        <v>5</v>
      </c>
      <c r="AL58" t="s">
        <v>52</v>
      </c>
      <c r="AM58" t="s">
        <v>49</v>
      </c>
    </row>
    <row r="59" spans="1:39" x14ac:dyDescent="0.25">
      <c r="B59">
        <v>8</v>
      </c>
      <c r="C59">
        <v>0.03</v>
      </c>
      <c r="D59">
        <v>2.5</v>
      </c>
      <c r="E59">
        <v>8</v>
      </c>
      <c r="F59">
        <v>1.008</v>
      </c>
      <c r="G59" t="s">
        <v>44</v>
      </c>
      <c r="I59">
        <v>16</v>
      </c>
      <c r="J59">
        <v>0.21</v>
      </c>
      <c r="K59">
        <v>2.96</v>
      </c>
      <c r="L59">
        <v>16</v>
      </c>
      <c r="M59">
        <v>15.999000000000001</v>
      </c>
      <c r="N59" t="str">
        <f t="shared" si="15"/>
        <v>O2V</v>
      </c>
      <c r="P59" t="s">
        <v>68</v>
      </c>
      <c r="Q59">
        <v>6</v>
      </c>
      <c r="R59" t="s">
        <v>52</v>
      </c>
      <c r="S59" t="s">
        <v>56</v>
      </c>
      <c r="AJ59" t="s">
        <v>68</v>
      </c>
      <c r="AK59">
        <v>6</v>
      </c>
      <c r="AL59" t="s">
        <v>52</v>
      </c>
      <c r="AM59" t="s">
        <v>56</v>
      </c>
    </row>
    <row r="60" spans="1:39" x14ac:dyDescent="0.25">
      <c r="B60">
        <v>11</v>
      </c>
      <c r="C60">
        <v>0.03</v>
      </c>
      <c r="D60">
        <v>2.5</v>
      </c>
      <c r="E60">
        <v>11</v>
      </c>
      <c r="F60">
        <v>1.008</v>
      </c>
      <c r="G60" t="s">
        <v>44</v>
      </c>
      <c r="P60" t="s">
        <v>68</v>
      </c>
      <c r="Q60">
        <v>7</v>
      </c>
      <c r="R60" t="s">
        <v>52</v>
      </c>
      <c r="S60" t="s">
        <v>57</v>
      </c>
      <c r="AJ60" t="s">
        <v>68</v>
      </c>
      <c r="AK60">
        <v>7</v>
      </c>
      <c r="AL60" t="s">
        <v>52</v>
      </c>
      <c r="AM60" t="s">
        <v>57</v>
      </c>
    </row>
    <row r="61" spans="1:39" x14ac:dyDescent="0.25">
      <c r="B61">
        <v>14</v>
      </c>
      <c r="C61">
        <v>0.03</v>
      </c>
      <c r="D61">
        <v>2.5</v>
      </c>
      <c r="E61">
        <v>14</v>
      </c>
      <c r="F61">
        <v>1.008</v>
      </c>
      <c r="G61" t="s">
        <v>44</v>
      </c>
      <c r="P61" t="s">
        <v>68</v>
      </c>
      <c r="Q61">
        <v>8</v>
      </c>
      <c r="R61" t="s">
        <v>52</v>
      </c>
      <c r="S61" t="s">
        <v>51</v>
      </c>
      <c r="AJ61" t="s">
        <v>68</v>
      </c>
      <c r="AK61">
        <v>8</v>
      </c>
      <c r="AL61" t="s">
        <v>52</v>
      </c>
      <c r="AM61" t="s">
        <v>51</v>
      </c>
    </row>
    <row r="62" spans="1:39" x14ac:dyDescent="0.25">
      <c r="B62">
        <v>15</v>
      </c>
      <c r="C62">
        <v>0.03</v>
      </c>
      <c r="D62">
        <v>2.5</v>
      </c>
      <c r="E62">
        <v>15</v>
      </c>
      <c r="F62">
        <v>1.008</v>
      </c>
      <c r="G62" t="s">
        <v>44</v>
      </c>
      <c r="P62" t="s">
        <v>68</v>
      </c>
      <c r="Q62">
        <v>9</v>
      </c>
      <c r="R62" t="s">
        <v>47</v>
      </c>
      <c r="S62" t="s">
        <v>47</v>
      </c>
      <c r="AJ62" t="s">
        <v>68</v>
      </c>
      <c r="AK62">
        <v>9</v>
      </c>
      <c r="AL62" t="s">
        <v>47</v>
      </c>
      <c r="AM62" t="s">
        <v>47</v>
      </c>
    </row>
    <row r="63" spans="1:39" x14ac:dyDescent="0.25">
      <c r="B63">
        <v>9</v>
      </c>
      <c r="C63">
        <v>0.14000000000000001</v>
      </c>
      <c r="D63">
        <v>2.9</v>
      </c>
      <c r="E63">
        <v>9</v>
      </c>
      <c r="F63">
        <v>15.999000000000001</v>
      </c>
      <c r="G63" t="s">
        <v>45</v>
      </c>
      <c r="P63" t="s">
        <v>68</v>
      </c>
      <c r="Q63">
        <v>10</v>
      </c>
      <c r="R63" t="s">
        <v>47</v>
      </c>
      <c r="S63" t="s">
        <v>44</v>
      </c>
      <c r="AJ63" t="s">
        <v>68</v>
      </c>
      <c r="AK63">
        <v>10</v>
      </c>
      <c r="AL63" t="s">
        <v>47</v>
      </c>
      <c r="AM63" t="s">
        <v>44</v>
      </c>
    </row>
    <row r="64" spans="1:39" x14ac:dyDescent="0.25">
      <c r="B64">
        <v>13</v>
      </c>
      <c r="C64">
        <v>0.14000000000000001</v>
      </c>
      <c r="D64">
        <v>2.9</v>
      </c>
      <c r="E64">
        <v>13</v>
      </c>
      <c r="F64">
        <v>15.999000000000001</v>
      </c>
      <c r="G64" t="s">
        <v>45</v>
      </c>
      <c r="P64" t="s">
        <v>68</v>
      </c>
      <c r="Q64">
        <v>11</v>
      </c>
      <c r="R64" t="s">
        <v>47</v>
      </c>
      <c r="S64" t="s">
        <v>45</v>
      </c>
      <c r="AJ64" t="s">
        <v>68</v>
      </c>
      <c r="AK64">
        <v>11</v>
      </c>
      <c r="AL64" t="s">
        <v>47</v>
      </c>
      <c r="AM64" t="s">
        <v>45</v>
      </c>
    </row>
    <row r="65" spans="2:39" x14ac:dyDescent="0.25">
      <c r="B65">
        <v>16</v>
      </c>
      <c r="C65">
        <v>0.21</v>
      </c>
      <c r="D65">
        <v>2.96</v>
      </c>
      <c r="E65">
        <v>16</v>
      </c>
      <c r="F65">
        <v>15.999000000000001</v>
      </c>
      <c r="G65" t="s">
        <v>46</v>
      </c>
      <c r="P65" t="s">
        <v>68</v>
      </c>
      <c r="Q65">
        <v>12</v>
      </c>
      <c r="R65" t="s">
        <v>53</v>
      </c>
      <c r="S65" t="s">
        <v>49</v>
      </c>
      <c r="AJ65" t="s">
        <v>68</v>
      </c>
      <c r="AK65">
        <v>12</v>
      </c>
      <c r="AL65" t="s">
        <v>53</v>
      </c>
      <c r="AM65" t="s">
        <v>49</v>
      </c>
    </row>
    <row r="66" spans="2:39" x14ac:dyDescent="0.25">
      <c r="B66">
        <v>2</v>
      </c>
      <c r="C66">
        <v>6.6000000000000003E-2</v>
      </c>
      <c r="D66">
        <v>3.5</v>
      </c>
      <c r="E66">
        <v>2</v>
      </c>
      <c r="F66">
        <v>12.010999999999999</v>
      </c>
      <c r="G66" t="s">
        <v>47</v>
      </c>
      <c r="P66" t="s">
        <v>68</v>
      </c>
      <c r="Q66">
        <v>13</v>
      </c>
      <c r="R66" t="s">
        <v>53</v>
      </c>
      <c r="S66" t="s">
        <v>56</v>
      </c>
      <c r="AJ66" t="s">
        <v>68</v>
      </c>
      <c r="AK66">
        <v>13</v>
      </c>
      <c r="AL66" t="s">
        <v>53</v>
      </c>
      <c r="AM66" t="s">
        <v>56</v>
      </c>
    </row>
    <row r="67" spans="2:39" x14ac:dyDescent="0.25">
      <c r="B67">
        <v>3</v>
      </c>
      <c r="C67">
        <v>6.6000000000000003E-2</v>
      </c>
      <c r="D67">
        <v>3.5</v>
      </c>
      <c r="E67">
        <v>3</v>
      </c>
      <c r="F67">
        <v>12.010999999999999</v>
      </c>
      <c r="G67" t="s">
        <v>47</v>
      </c>
      <c r="P67" t="s">
        <v>68</v>
      </c>
      <c r="Q67">
        <v>14</v>
      </c>
      <c r="R67" t="s">
        <v>48</v>
      </c>
      <c r="S67" t="s">
        <v>45</v>
      </c>
      <c r="AJ67" t="s">
        <v>68</v>
      </c>
      <c r="AK67">
        <v>14</v>
      </c>
      <c r="AL67" t="s">
        <v>48</v>
      </c>
      <c r="AM67" t="s">
        <v>45</v>
      </c>
    </row>
    <row r="68" spans="2:39" x14ac:dyDescent="0.25">
      <c r="B68">
        <v>6</v>
      </c>
      <c r="C68">
        <v>6.6000000000000003E-2</v>
      </c>
      <c r="D68">
        <v>3.5</v>
      </c>
      <c r="E68">
        <v>6</v>
      </c>
      <c r="F68">
        <v>12.010999999999999</v>
      </c>
      <c r="G68" t="s">
        <v>47</v>
      </c>
      <c r="P68" t="s">
        <v>68</v>
      </c>
      <c r="Q68">
        <v>15</v>
      </c>
      <c r="R68" t="s">
        <v>48</v>
      </c>
      <c r="S68" t="s">
        <v>46</v>
      </c>
      <c r="AJ68" t="s">
        <v>68</v>
      </c>
      <c r="AK68">
        <v>15</v>
      </c>
      <c r="AL68" t="s">
        <v>48</v>
      </c>
      <c r="AM68" t="s">
        <v>46</v>
      </c>
    </row>
    <row r="69" spans="2:39" x14ac:dyDescent="0.25">
      <c r="B69">
        <v>10</v>
      </c>
      <c r="C69">
        <v>6.6000000000000003E-2</v>
      </c>
      <c r="D69">
        <v>3.5</v>
      </c>
      <c r="E69">
        <v>10</v>
      </c>
      <c r="F69">
        <v>12.010999999999999</v>
      </c>
      <c r="G69" t="s">
        <v>47</v>
      </c>
      <c r="P69" t="s">
        <v>68</v>
      </c>
      <c r="Q69">
        <v>16</v>
      </c>
      <c r="R69" t="s">
        <v>54</v>
      </c>
      <c r="S69" t="s">
        <v>51</v>
      </c>
      <c r="AJ69" t="s">
        <v>68</v>
      </c>
      <c r="AK69">
        <v>16</v>
      </c>
      <c r="AL69" t="s">
        <v>54</v>
      </c>
      <c r="AM69" t="s">
        <v>51</v>
      </c>
    </row>
    <row r="70" spans="2:39" x14ac:dyDescent="0.25">
      <c r="B70">
        <v>12</v>
      </c>
      <c r="C70">
        <v>7.0000000000000007E-2</v>
      </c>
      <c r="D70">
        <v>3.55</v>
      </c>
      <c r="E70">
        <v>12</v>
      </c>
      <c r="F70">
        <v>12.010999999999999</v>
      </c>
      <c r="G70" t="s">
        <v>48</v>
      </c>
      <c r="P70" t="s">
        <v>68</v>
      </c>
      <c r="Q70">
        <v>17</v>
      </c>
      <c r="R70" t="s">
        <v>55</v>
      </c>
      <c r="S70" t="s">
        <v>51</v>
      </c>
      <c r="AJ70" t="s">
        <v>68</v>
      </c>
      <c r="AK70">
        <v>17</v>
      </c>
      <c r="AL70" t="s">
        <v>55</v>
      </c>
      <c r="AM70" t="s">
        <v>51</v>
      </c>
    </row>
  </sheetData>
  <sortState xmlns:xlrd2="http://schemas.microsoft.com/office/spreadsheetml/2017/richdata2" ref="I55:M59">
    <sortCondition ref="I55:I5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All_Unique_Types</vt:lpstr>
      <vt:lpstr>PEO_LMP_GMX_UniqueMap</vt:lpstr>
      <vt:lpstr>CO32M_LMP_GMX_UniqueMap</vt:lpstr>
      <vt:lpstr>MTFSI_LMP_GMX_UniqueMap</vt:lpstr>
      <vt:lpstr>VEC_LMP_GMX_UniqueMap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Mathamangalath Sethuraman, Vaidya</dc:creator>
  <cp:lastModifiedBy>Mathamangalath Sethuraman, Vaidya</cp:lastModifiedBy>
  <dcterms:created xsi:type="dcterms:W3CDTF">2015-06-05T18:17:20Z</dcterms:created>
  <dcterms:modified xsi:type="dcterms:W3CDTF">2026-07-14T23:40:40Z</dcterms:modified>
</cp:coreProperties>
</file>